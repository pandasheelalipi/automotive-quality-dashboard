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Executive Dashboard" sheetId="1" state="visible" r:id="rId1"/>
    <sheet xmlns:r="http://schemas.openxmlformats.org/officeDocument/2006/relationships" name="Monthly KPI Summary" sheetId="2" state="visible" r:id="rId2"/>
    <sheet xmlns:r="http://schemas.openxmlformats.org/officeDocument/2006/relationships" name="Defect Log" sheetId="3" state="visible" r:id="rId3"/>
    <sheet xmlns:r="http://schemas.openxmlformats.org/officeDocument/2006/relationships" name="Process Audit Log" sheetId="4" state="visible" r:id="rId4"/>
    <sheet xmlns:r="http://schemas.openxmlformats.org/officeDocument/2006/relationships" name="Supplier Scorecard" sheetId="5" state="visible" r:id="rId5"/>
    <sheet xmlns:r="http://schemas.openxmlformats.org/officeDocument/2006/relationships" name="Corrosion Risk Register" sheetId="6" state="visible" r:id="rId6"/>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6"/>
    </font>
    <font>
      <i val="1"/>
      <color rgb="00FFFFFF"/>
      <sz val="9"/>
    </font>
    <font>
      <b val="1"/>
      <color rgb="00FFFFFF"/>
      <sz val="9"/>
    </font>
    <font>
      <b val="1"/>
      <color rgb="001A1A2E"/>
      <sz val="8"/>
    </font>
    <font>
      <b val="1"/>
      <color rgb="00FFFFFF"/>
      <sz val="14"/>
    </font>
    <font>
      <b val="1"/>
      <color rgb="00FFFFFF"/>
      <sz val="10"/>
    </font>
    <font>
      <color rgb="001A1A2E"/>
      <sz val="9"/>
    </font>
    <font>
      <b val="1"/>
      <color rgb="001B4F72"/>
      <sz val="9"/>
    </font>
    <font>
      <b val="1"/>
      <color rgb="001A1A2E"/>
      <sz val="9"/>
    </font>
    <font>
      <i val="1"/>
      <color rgb="001A1A2E"/>
      <sz val="8"/>
    </font>
    <font>
      <b val="1"/>
      <color rgb="00FFFFFF"/>
      <sz val="13"/>
    </font>
  </fonts>
  <fills count="13">
    <fill>
      <patternFill/>
    </fill>
    <fill>
      <patternFill patternType="gray125"/>
    </fill>
    <fill>
      <patternFill patternType="solid">
        <fgColor rgb="001A1A2E"/>
      </patternFill>
    </fill>
    <fill>
      <patternFill patternType="solid">
        <fgColor rgb="001B4F72"/>
      </patternFill>
    </fill>
    <fill>
      <patternFill patternType="solid">
        <fgColor rgb="00EBF5FB"/>
      </patternFill>
    </fill>
    <fill>
      <patternFill patternType="solid">
        <fgColor rgb="00FFFFFF"/>
      </patternFill>
    </fill>
    <fill>
      <patternFill patternType="solid">
        <fgColor rgb="00C0392B"/>
      </patternFill>
    </fill>
    <fill>
      <patternFill patternType="solid">
        <fgColor rgb="00D4AC0D"/>
      </patternFill>
    </fill>
    <fill>
      <patternFill patternType="solid">
        <fgColor rgb="001E8449"/>
      </patternFill>
    </fill>
    <fill>
      <patternFill patternType="solid">
        <fgColor rgb="002E4057"/>
      </patternFill>
    </fill>
    <fill>
      <patternFill patternType="solid">
        <fgColor rgb="001A5276"/>
      </patternFill>
    </fill>
    <fill>
      <patternFill patternType="solid">
        <fgColor rgb="00117A65"/>
      </patternFill>
    </fill>
    <fill>
      <patternFill patternType="solid">
        <fgColor rgb="006E2F26"/>
      </patternFill>
    </fill>
  </fills>
  <borders count="3">
    <border>
      <left/>
      <right/>
      <top/>
      <bottom/>
      <diagonal/>
    </border>
    <border>
      <right style="thin">
        <color rgb="00FFFFFF"/>
      </right>
      <bottom style="medium">
        <color rgb="00FFFFFF"/>
      </bottom>
    </border>
    <border>
      <right style="thin">
        <color rgb="00D5D8DC"/>
      </right>
      <bottom style="thin">
        <color rgb="00D5D8DC"/>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0" applyAlignment="1" pivotButton="0" quotePrefix="0" xfId="0">
      <alignment horizontal="center" vertical="center"/>
    </xf>
    <xf numFmtId="0" fontId="4" fillId="4" borderId="0" applyAlignment="1" pivotButton="0" quotePrefix="0" xfId="0">
      <alignment horizontal="center" vertical="center" wrapText="1"/>
    </xf>
    <xf numFmtId="0" fontId="5" fillId="3" borderId="0" applyAlignment="1" pivotButton="0" quotePrefix="0" xfId="0">
      <alignment horizontal="center" vertical="center"/>
    </xf>
    <xf numFmtId="0" fontId="6" fillId="3" borderId="0" applyAlignment="1" pivotButton="0" quotePrefix="0" xfId="0">
      <alignment horizontal="center" vertical="center"/>
    </xf>
    <xf numFmtId="0" fontId="7" fillId="4" borderId="0" pivotButton="0" quotePrefix="0" xfId="0"/>
    <xf numFmtId="0" fontId="8" fillId="4" borderId="0" applyAlignment="1" pivotButton="0" quotePrefix="0" xfId="0">
      <alignment horizontal="center"/>
    </xf>
    <xf numFmtId="0" fontId="3" fillId="6" borderId="0" applyAlignment="1" pivotButton="0" quotePrefix="0" xfId="0">
      <alignment horizontal="center"/>
    </xf>
    <xf numFmtId="0" fontId="9" fillId="4" borderId="0" applyAlignment="1" pivotButton="0" quotePrefix="0" xfId="0">
      <alignment horizontal="center"/>
    </xf>
    <xf numFmtId="0" fontId="3" fillId="7" borderId="0" applyAlignment="1" pivotButton="0" quotePrefix="0" xfId="0">
      <alignment horizontal="center"/>
    </xf>
    <xf numFmtId="0" fontId="7" fillId="5" borderId="0" pivotButton="0" quotePrefix="0" xfId="0"/>
    <xf numFmtId="0" fontId="8" fillId="5" borderId="0" applyAlignment="1" pivotButton="0" quotePrefix="0" xfId="0">
      <alignment horizontal="center"/>
    </xf>
    <xf numFmtId="0" fontId="3" fillId="8" borderId="0" applyAlignment="1" pivotButton="0" quotePrefix="0" xfId="0">
      <alignment horizontal="center"/>
    </xf>
    <xf numFmtId="0" fontId="10" fillId="4" borderId="0" applyAlignment="1" pivotButton="0" quotePrefix="0" xfId="0">
      <alignment horizontal="left" vertical="center" wrapText="1"/>
    </xf>
    <xf numFmtId="0" fontId="11" fillId="2" borderId="0" applyAlignment="1" pivotButton="0" quotePrefix="0" xfId="0">
      <alignment horizontal="center" vertical="center"/>
    </xf>
    <xf numFmtId="0" fontId="6" fillId="3" borderId="1" applyAlignment="1" pivotButton="0" quotePrefix="0" xfId="0">
      <alignment horizontal="center" vertical="center" wrapText="1"/>
    </xf>
    <xf numFmtId="0" fontId="7" fillId="5" borderId="2" applyAlignment="1" pivotButton="0" quotePrefix="0" xfId="0">
      <alignment horizontal="center" vertical="center"/>
    </xf>
    <xf numFmtId="0" fontId="7" fillId="4" borderId="2" applyAlignment="1" pivotButton="0" quotePrefix="0" xfId="0">
      <alignment horizontal="center" vertical="center"/>
    </xf>
    <xf numFmtId="0" fontId="6" fillId="9"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11" borderId="1" applyAlignment="1" pivotButton="0" quotePrefix="0" xfId="0">
      <alignment horizontal="center" vertical="center" wrapText="1"/>
    </xf>
    <xf numFmtId="0" fontId="6" fillId="1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Monthly Defects: Found vs Closed</a:t>
            </a:r>
          </a:p>
        </rich>
      </tx>
    </title>
    <plotArea>
      <barChart>
        <barDir val="col"/>
        <grouping val="clustered"/>
        <ser>
          <idx val="0"/>
          <order val="0"/>
          <tx>
            <strRef>
              <f>'Monthly KPI Summary'!B2</f>
            </strRef>
          </tx>
          <spPr>
            <a:ln xmlns:a="http://schemas.openxmlformats.org/drawingml/2006/main">
              <a:prstDash val="solid"/>
            </a:ln>
          </spPr>
          <cat>
            <numRef>
              <f>'Monthly KPI Summary'!$A$3:$A$14</f>
            </numRef>
          </cat>
          <val>
            <numRef>
              <f>'Monthly KPI Summary'!$B$3:$B$14</f>
            </numRef>
          </val>
        </ser>
        <ser>
          <idx val="1"/>
          <order val="1"/>
          <tx>
            <strRef>
              <f>'Monthly KPI Summary'!C2</f>
            </strRef>
          </tx>
          <spPr>
            <a:ln xmlns:a="http://schemas.openxmlformats.org/drawingml/2006/main">
              <a:prstDash val="solid"/>
            </a:ln>
          </spPr>
          <cat>
            <numRef>
              <f>'Monthly KPI Summary'!$A$3:$A$14</f>
            </numRef>
          </cat>
          <val>
            <numRef>
              <f>'Monthly KPI Summary'!$C$3:$C$14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Quality KPI Trends (12-Month)</a:t>
            </a:r>
          </a:p>
        </rich>
      </tx>
    </title>
    <plotArea>
      <lineChart>
        <grouping val="standard"/>
        <ser>
          <idx val="0"/>
          <order val="0"/>
          <tx>
            <strRef>
              <f>'Monthly KPI Summary'!E2</f>
            </strRef>
          </tx>
          <spPr>
            <a:ln xmlns:a="http://schemas.openxmlformats.org/drawingml/2006/main">
              <a:prstDash val="solid"/>
            </a:ln>
          </spPr>
          <marker>
            <symbol val="none"/>
            <spPr>
              <a:ln xmlns:a="http://schemas.openxmlformats.org/drawingml/2006/main">
                <a:prstDash val="solid"/>
              </a:ln>
            </spPr>
          </marker>
          <cat>
            <numRef>
              <f>'Monthly KPI Summary'!$A$3:$A$14</f>
            </numRef>
          </cat>
          <val>
            <numRef>
              <f>'Monthly KPI Summary'!$E$3:$E$14</f>
            </numRef>
          </val>
        </ser>
        <ser>
          <idx val="1"/>
          <order val="1"/>
          <tx>
            <strRef>
              <f>'Monthly KPI Summary'!F2</f>
            </strRef>
          </tx>
          <spPr>
            <a:ln xmlns:a="http://schemas.openxmlformats.org/drawingml/2006/main">
              <a:prstDash val="solid"/>
            </a:ln>
          </spPr>
          <marker>
            <symbol val="none"/>
            <spPr>
              <a:ln xmlns:a="http://schemas.openxmlformats.org/drawingml/2006/main">
                <a:prstDash val="solid"/>
              </a:ln>
            </spPr>
          </marker>
          <cat>
            <numRef>
              <f>'Monthly KPI Summary'!$A$3:$A$14</f>
            </numRef>
          </cat>
          <val>
            <numRef>
              <f>'Monthly KPI Summary'!$F$3:$F$14</f>
            </numRef>
          </val>
        </ser>
        <ser>
          <idx val="2"/>
          <order val="2"/>
          <tx>
            <strRef>
              <f>'Monthly KPI Summary'!G2</f>
            </strRef>
          </tx>
          <spPr>
            <a:ln xmlns:a="http://schemas.openxmlformats.org/drawingml/2006/main">
              <a:prstDash val="solid"/>
            </a:ln>
          </spPr>
          <marker>
            <symbol val="none"/>
            <spPr>
              <a:ln xmlns:a="http://schemas.openxmlformats.org/drawingml/2006/main">
                <a:prstDash val="solid"/>
              </a:ln>
            </spPr>
          </marker>
          <cat>
            <numRef>
              <f>'Monthly KPI Summary'!$A$3:$A$14</f>
            </numRef>
          </cat>
          <val>
            <numRef>
              <f>'Monthly KPI Summary'!$G$3:$G$14</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9</col>
      <colOff>0</colOff>
      <row>2</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19</row>
      <rowOff>0</rowOff>
    </from>
    <ext cx="648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O24"/>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22" customHeight="1">
      <c r="A1" s="1" t="inlineStr">
        <is>
          <t>🚗  AUTOMOTIVE QUALITY &amp; PROCESS INTELLIGENCE DASHBOARD</t>
        </is>
      </c>
    </row>
    <row r="2" ht="22" customHeight="1"/>
    <row r="3" ht="22" customHeight="1">
      <c r="A3" s="2" t="inlineStr">
        <is>
          <t>Author: Sheelalipi Panda  |  M.Sc. Electromobility, FAU Erlangen-Nürnberg  |  Generated: May 2026  |  github.com/pandasheelalipi</t>
        </is>
      </c>
    </row>
    <row r="4" ht="22" customHeight="1"/>
    <row r="5" ht="22" customHeight="1">
      <c r="A5" s="3" t="inlineStr">
        <is>
          <t>KPI SUMMARY</t>
        </is>
      </c>
      <c r="B5" s="4" t="inlineStr">
        <is>
          <t>Total Defects
(12 months)</t>
        </is>
      </c>
      <c r="D5" s="4" t="inlineStr">
        <is>
          <t>Avg First Pass
Yield (%)</t>
        </is>
      </c>
      <c r="F5" s="4" t="inlineStr">
        <is>
          <t>Avg Audit
Score (%)</t>
        </is>
      </c>
      <c r="H5" s="4" t="inlineStr">
        <is>
          <t>Avg Supplier
Score (%)</t>
        </is>
      </c>
      <c r="J5" s="4" t="inlineStr">
        <is>
          <t>Open Defects
(Current)</t>
        </is>
      </c>
      <c r="L5" s="4" t="inlineStr">
        <is>
          <t>Audits
Conducted</t>
        </is>
      </c>
      <c r="N5" s="4" t="inlineStr">
        <is>
          <t>Suppliers
Tracked</t>
        </is>
      </c>
    </row>
    <row r="6" ht="22" customHeight="1"/>
    <row r="7" ht="22" customHeight="1">
      <c r="B7" s="5" t="n">
        <v>176</v>
      </c>
      <c r="D7" s="5" t="inlineStr">
        <is>
          <t>94.9%</t>
        </is>
      </c>
      <c r="F7" s="5" t="inlineStr">
        <is>
          <t>86.4%</t>
        </is>
      </c>
      <c r="H7" s="5" t="inlineStr">
        <is>
          <t>88.1%</t>
        </is>
      </c>
      <c r="J7" s="5" t="n">
        <v>47</v>
      </c>
      <c r="L7" s="5" t="n">
        <v>30</v>
      </c>
      <c r="N7" s="5" t="n">
        <v>5</v>
      </c>
    </row>
    <row r="8" ht="22" customHeight="1"/>
    <row r="9" ht="22" customHeight="1">
      <c r="A9" s="6" t="inlineStr">
        <is>
          <t>Defects by Component</t>
        </is>
      </c>
      <c r="E9" s="6" t="inlineStr">
        <is>
          <t>Defects by Severity</t>
        </is>
      </c>
      <c r="I9" s="6" t="inlineStr">
        <is>
          <t>Supplier Ratings</t>
        </is>
      </c>
    </row>
    <row r="10" ht="22" customHeight="1">
      <c r="A10" s="7" t="inlineStr">
        <is>
          <t>Transmission</t>
        </is>
      </c>
      <c r="B10" s="8" t="n">
        <v>22</v>
      </c>
      <c r="E10" s="9" t="inlineStr">
        <is>
          <t>Critical</t>
        </is>
      </c>
      <c r="F10" s="10" t="n">
        <v>45</v>
      </c>
      <c r="I10" s="7" t="inlineStr">
        <is>
          <t>Supplier A</t>
        </is>
      </c>
      <c r="J10" s="8" t="inlineStr">
        <is>
          <t>83.0%</t>
        </is>
      </c>
      <c r="K10" s="11" t="inlineStr">
        <is>
          <t>B</t>
        </is>
      </c>
    </row>
    <row r="11" ht="22" customHeight="1">
      <c r="A11" s="12" t="inlineStr">
        <is>
          <t>Instrument Transformer</t>
        </is>
      </c>
      <c r="B11" s="13" t="n">
        <v>17</v>
      </c>
      <c r="E11" s="11" t="inlineStr">
        <is>
          <t>Major</t>
        </is>
      </c>
      <c r="F11" s="10" t="n">
        <v>36</v>
      </c>
      <c r="I11" s="12" t="inlineStr">
        <is>
          <t>Supplier B</t>
        </is>
      </c>
      <c r="J11" s="13" t="inlineStr">
        <is>
          <t>88.8%</t>
        </is>
      </c>
      <c r="K11" s="11" t="inlineStr">
        <is>
          <t>B</t>
        </is>
      </c>
    </row>
    <row r="12" ht="22" customHeight="1">
      <c r="A12" s="7" t="inlineStr">
        <is>
          <t>Cylinder Head</t>
        </is>
      </c>
      <c r="B12" s="8" t="n">
        <v>16</v>
      </c>
      <c r="E12" s="14" t="inlineStr">
        <is>
          <t>Minor</t>
        </is>
      </c>
      <c r="F12" s="10" t="n">
        <v>39</v>
      </c>
      <c r="I12" s="7" t="inlineStr">
        <is>
          <t>Supplier C</t>
        </is>
      </c>
      <c r="J12" s="8" t="inlineStr">
        <is>
          <t>89.0%</t>
        </is>
      </c>
      <c r="K12" s="11" t="inlineStr">
        <is>
          <t>B</t>
        </is>
      </c>
    </row>
    <row r="13" ht="22" customHeight="1">
      <c r="A13" s="12" t="inlineStr">
        <is>
          <t>Bushing</t>
        </is>
      </c>
      <c r="B13" s="13" t="n">
        <v>14</v>
      </c>
      <c r="I13" s="12" t="inlineStr">
        <is>
          <t>Supplier D</t>
        </is>
      </c>
      <c r="J13" s="13" t="inlineStr">
        <is>
          <t>86.9%</t>
        </is>
      </c>
      <c r="K13" s="11" t="inlineStr">
        <is>
          <t>B</t>
        </is>
      </c>
    </row>
    <row r="14" ht="22" customHeight="1">
      <c r="A14" s="7" t="inlineStr">
        <is>
          <t>Crankshaft</t>
        </is>
      </c>
      <c r="B14" s="8" t="n">
        <v>14</v>
      </c>
      <c r="I14" s="7" t="inlineStr">
        <is>
          <t>Supplier E</t>
        </is>
      </c>
      <c r="J14" s="8" t="inlineStr">
        <is>
          <t>89.2%</t>
        </is>
      </c>
      <c r="K14" s="11" t="inlineStr">
        <is>
          <t>B</t>
        </is>
      </c>
    </row>
    <row r="15" ht="22" customHeight="1">
      <c r="A15" s="12" t="inlineStr">
        <is>
          <t>eATS Motor</t>
        </is>
      </c>
      <c r="B15" s="13" t="n">
        <v>14</v>
      </c>
    </row>
    <row r="16" ht="22" customHeight="1">
      <c r="A16" s="7" t="inlineStr">
        <is>
          <t>Crankcase</t>
        </is>
      </c>
      <c r="B16" s="8" t="n">
        <v>12</v>
      </c>
    </row>
    <row r="17" ht="22" customHeight="1">
      <c r="A17" s="12" t="inlineStr">
        <is>
          <t>Coil Assembly</t>
        </is>
      </c>
      <c r="B17" s="13" t="n">
        <v>11</v>
      </c>
    </row>
    <row r="18" ht="22" customHeight="1"/>
    <row r="19" ht="22" customHeight="1"/>
    <row r="20" ht="22" customHeight="1"/>
    <row r="21" ht="22" customHeight="1"/>
    <row r="22" ht="22" customHeight="1">
      <c r="A22" s="15" t="inlineStr">
        <is>
          <t>PROJECT: This dashboard simulates automotive quality management operations relevant to OEM production environments (BMW, Mercedes-Benz, Audi). It covers defect tracking, process audit scoring, supplier quality scorecards, corrosion risk assessment, and monthly KPI trend analysis. Built independently using Python (pandas, openpyxl) to demonstrate data analysis, structured reporting, and quality management capabilities.</t>
        </is>
      </c>
    </row>
    <row r="23" ht="22" customHeight="1"/>
    <row r="24" ht="22" customHeight="1"/>
    <row r="25" ht="22" customHeight="1"/>
    <row r="26" ht="22" customHeight="1"/>
    <row r="27" ht="22" customHeight="1"/>
    <row r="28" ht="22" customHeight="1"/>
    <row r="29" ht="22" customHeight="1"/>
    <row r="30" ht="22" customHeight="1"/>
    <row r="31" ht="22" customHeight="1"/>
    <row r="32" ht="22" customHeight="1"/>
    <row r="33" ht="22" customHeight="1"/>
    <row r="34" ht="22" customHeight="1"/>
    <row r="35" ht="22" customHeight="1"/>
    <row r="36" ht="22" customHeight="1"/>
    <row r="37" ht="22" customHeight="1"/>
    <row r="38" ht="22" customHeight="1"/>
    <row r="39" ht="22" customHeight="1"/>
  </sheetData>
  <mergeCells count="21">
    <mergeCell ref="E9:G9"/>
    <mergeCell ref="B5"/>
    <mergeCell ref="D5"/>
    <mergeCell ref="A3:O3"/>
    <mergeCell ref="H5"/>
    <mergeCell ref="B7"/>
    <mergeCell ref="A1:O2"/>
    <mergeCell ref="L7"/>
    <mergeCell ref="J5"/>
    <mergeCell ref="N7"/>
    <mergeCell ref="A5:A6"/>
    <mergeCell ref="F7"/>
    <mergeCell ref="I9:K9"/>
    <mergeCell ref="A22:O24"/>
    <mergeCell ref="A9:C9"/>
    <mergeCell ref="F5"/>
    <mergeCell ref="L5"/>
    <mergeCell ref="N5"/>
    <mergeCell ref="D7"/>
    <mergeCell ref="H7"/>
    <mergeCell ref="J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showGridLines="0" workbookViewId="0">
      <selection activeCell="A1" sqref="A1"/>
    </sheetView>
  </sheetViews>
  <sheetFormatPr baseColWidth="8" defaultRowHeight="15"/>
  <cols>
    <col width="12" customWidth="1" min="1" max="1"/>
    <col width="17" customWidth="1" min="2" max="2"/>
    <col width="18" customWidth="1" min="3" max="3"/>
    <col width="16" customWidth="1" min="4" max="4"/>
    <col width="24" customWidth="1" min="5" max="5"/>
    <col width="27" customWidth="1" min="6" max="6"/>
    <col width="28" customWidth="1" min="7" max="7"/>
    <col width="24" customWidth="1" min="8" max="8"/>
  </cols>
  <sheetData>
    <row r="1" ht="30" customHeight="1">
      <c r="A1" s="16" t="inlineStr">
        <is>
          <t>Monthly KPI Summary</t>
        </is>
      </c>
    </row>
    <row r="2" ht="28" customHeight="1">
      <c r="A2" s="17" t="inlineStr">
        <is>
          <t>Month</t>
        </is>
      </c>
      <c r="B2" s="17" t="inlineStr">
        <is>
          <t>Defects Found</t>
        </is>
      </c>
      <c r="C2" s="17" t="inlineStr">
        <is>
          <t>Defects Closed</t>
        </is>
      </c>
      <c r="D2" s="17" t="inlineStr">
        <is>
          <t>Open Defects</t>
        </is>
      </c>
      <c r="E2" s="17" t="inlineStr">
        <is>
          <t>First Pass Yield (%)</t>
        </is>
      </c>
      <c r="F2" s="17" t="inlineStr">
        <is>
          <t>Process Audit Score (%)</t>
        </is>
      </c>
      <c r="G2" s="17" t="inlineStr">
        <is>
          <t>Supplier Quality Score (%)</t>
        </is>
      </c>
      <c r="H2" s="17" t="inlineStr">
        <is>
          <t>On-Time Delivery (%)</t>
        </is>
      </c>
    </row>
    <row r="3">
      <c r="A3" s="18" t="inlineStr">
        <is>
          <t>Jan 2024</t>
        </is>
      </c>
      <c r="B3" s="18" t="n">
        <v>16</v>
      </c>
      <c r="C3" s="18" t="n">
        <v>16</v>
      </c>
      <c r="D3" s="18" t="n">
        <v>0</v>
      </c>
      <c r="E3" s="18" t="n">
        <v>95.09999999999999</v>
      </c>
      <c r="F3" s="18" t="n">
        <v>81.40000000000001</v>
      </c>
      <c r="G3" s="18" t="n">
        <v>96.90000000000001</v>
      </c>
      <c r="H3" s="18" t="n">
        <v>92.8</v>
      </c>
    </row>
    <row r="4">
      <c r="A4" s="19" t="inlineStr">
        <is>
          <t>Feb 2024</t>
        </is>
      </c>
      <c r="B4" s="19" t="n">
        <v>15</v>
      </c>
      <c r="C4" s="19" t="n">
        <v>7</v>
      </c>
      <c r="D4" s="19" t="n">
        <v>8</v>
      </c>
      <c r="E4" s="19" t="n">
        <v>95.29000000000001</v>
      </c>
      <c r="F4" s="19" t="n">
        <v>84.40000000000001</v>
      </c>
      <c r="G4" s="19" t="n">
        <v>85.5</v>
      </c>
      <c r="H4" s="19" t="n">
        <v>89.2</v>
      </c>
    </row>
    <row r="5">
      <c r="A5" s="18" t="inlineStr">
        <is>
          <t>Mar 2024</t>
        </is>
      </c>
      <c r="B5" s="18" t="n">
        <v>10</v>
      </c>
      <c r="C5" s="18" t="n">
        <v>8</v>
      </c>
      <c r="D5" s="18" t="n">
        <v>2</v>
      </c>
      <c r="E5" s="18" t="n">
        <v>94.88</v>
      </c>
      <c r="F5" s="18" t="n">
        <v>86.40000000000001</v>
      </c>
      <c r="G5" s="18" t="n">
        <v>91.3</v>
      </c>
      <c r="H5" s="18" t="n">
        <v>92.40000000000001</v>
      </c>
    </row>
    <row r="6">
      <c r="A6" s="19" t="inlineStr">
        <is>
          <t>Apr 2024</t>
        </is>
      </c>
      <c r="B6" s="19" t="n">
        <v>20</v>
      </c>
      <c r="C6" s="19" t="n">
        <v>14</v>
      </c>
      <c r="D6" s="19" t="n">
        <v>6</v>
      </c>
      <c r="E6" s="19" t="n">
        <v>92.26000000000001</v>
      </c>
      <c r="F6" s="19" t="n">
        <v>77</v>
      </c>
      <c r="G6" s="19" t="n">
        <v>84.3</v>
      </c>
      <c r="H6" s="19" t="n">
        <v>89.3</v>
      </c>
    </row>
    <row r="7">
      <c r="A7" s="18" t="inlineStr">
        <is>
          <t>May 2024</t>
        </is>
      </c>
      <c r="B7" s="18" t="n">
        <v>20</v>
      </c>
      <c r="C7" s="18" t="n">
        <v>12</v>
      </c>
      <c r="D7" s="18" t="n">
        <v>8</v>
      </c>
      <c r="E7" s="18" t="n">
        <v>98.05</v>
      </c>
      <c r="F7" s="18" t="n">
        <v>94</v>
      </c>
      <c r="G7" s="18" t="n">
        <v>80</v>
      </c>
      <c r="H7" s="18" t="n">
        <v>97.59999999999999</v>
      </c>
    </row>
    <row r="8">
      <c r="A8" s="19" t="inlineStr">
        <is>
          <t>Jun 2024</t>
        </is>
      </c>
      <c r="B8" s="19" t="n">
        <v>15</v>
      </c>
      <c r="C8" s="19" t="n">
        <v>12</v>
      </c>
      <c r="D8" s="19" t="n">
        <v>3</v>
      </c>
      <c r="E8" s="19" t="n">
        <v>92.38</v>
      </c>
      <c r="F8" s="19" t="n">
        <v>86.90000000000001</v>
      </c>
      <c r="G8" s="19" t="n">
        <v>90.59999999999999</v>
      </c>
      <c r="H8" s="19" t="n">
        <v>93.5</v>
      </c>
    </row>
    <row r="9">
      <c r="A9" s="18" t="inlineStr">
        <is>
          <t>Jul 2024</t>
        </is>
      </c>
      <c r="B9" s="18" t="n">
        <v>15</v>
      </c>
      <c r="C9" s="18" t="n">
        <v>6</v>
      </c>
      <c r="D9" s="18" t="n">
        <v>9</v>
      </c>
      <c r="E9" s="18" t="n">
        <v>93.42</v>
      </c>
      <c r="F9" s="18" t="n">
        <v>87.59999999999999</v>
      </c>
      <c r="G9" s="18" t="n">
        <v>95.8</v>
      </c>
      <c r="H9" s="18" t="n">
        <v>92.8</v>
      </c>
    </row>
    <row r="10">
      <c r="A10" s="19" t="inlineStr">
        <is>
          <t>Aug 2024</t>
        </is>
      </c>
      <c r="B10" s="19" t="n">
        <v>19</v>
      </c>
      <c r="C10" s="19" t="n">
        <v>13</v>
      </c>
      <c r="D10" s="19" t="n">
        <v>6</v>
      </c>
      <c r="E10" s="19" t="n">
        <v>92.84999999999999</v>
      </c>
      <c r="F10" s="19" t="n">
        <v>97.40000000000001</v>
      </c>
      <c r="G10" s="19" t="n">
        <v>90.40000000000001</v>
      </c>
      <c r="H10" s="19" t="n">
        <v>90.59999999999999</v>
      </c>
    </row>
    <row r="11">
      <c r="A11" s="18" t="inlineStr">
        <is>
          <t>Sep 2024</t>
        </is>
      </c>
      <c r="B11" s="18" t="n">
        <v>10</v>
      </c>
      <c r="C11" s="18" t="n">
        <v>8</v>
      </c>
      <c r="D11" s="18" t="n">
        <v>2</v>
      </c>
      <c r="E11" s="18" t="n">
        <v>95.86</v>
      </c>
      <c r="F11" s="18" t="n">
        <v>87.7</v>
      </c>
      <c r="G11" s="18" t="n">
        <v>81.59999999999999</v>
      </c>
      <c r="H11" s="18" t="n">
        <v>98.90000000000001</v>
      </c>
    </row>
    <row r="12">
      <c r="A12" s="19" t="inlineStr">
        <is>
          <t>Oct 2024</t>
        </is>
      </c>
      <c r="B12" s="19" t="n">
        <v>9</v>
      </c>
      <c r="C12" s="19" t="n">
        <v>9</v>
      </c>
      <c r="D12" s="19" t="n">
        <v>0</v>
      </c>
      <c r="E12" s="19" t="n">
        <v>98.63</v>
      </c>
      <c r="F12" s="19" t="n">
        <v>89.90000000000001</v>
      </c>
      <c r="G12" s="19" t="n">
        <v>82.59999999999999</v>
      </c>
      <c r="H12" s="19" t="n">
        <v>98.3</v>
      </c>
    </row>
    <row r="13">
      <c r="A13" s="18" t="inlineStr">
        <is>
          <t>Nov 2024</t>
        </is>
      </c>
      <c r="B13" s="18" t="n">
        <v>12</v>
      </c>
      <c r="C13" s="18" t="n">
        <v>10</v>
      </c>
      <c r="D13" s="18" t="n">
        <v>2</v>
      </c>
      <c r="E13" s="18" t="n">
        <v>96.94</v>
      </c>
      <c r="F13" s="18" t="n">
        <v>84.59999999999999</v>
      </c>
      <c r="G13" s="18" t="n">
        <v>88.2</v>
      </c>
      <c r="H13" s="18" t="n">
        <v>93.2</v>
      </c>
    </row>
    <row r="14">
      <c r="A14" s="19" t="inlineStr">
        <is>
          <t>Dec 2024</t>
        </is>
      </c>
      <c r="B14" s="19" t="n">
        <v>15</v>
      </c>
      <c r="C14" s="19" t="n">
        <v>14</v>
      </c>
      <c r="D14" s="19" t="n">
        <v>1</v>
      </c>
      <c r="E14" s="19" t="n">
        <v>93.01000000000001</v>
      </c>
      <c r="F14" s="19" t="n">
        <v>79.40000000000001</v>
      </c>
      <c r="G14" s="19" t="n">
        <v>90.2</v>
      </c>
      <c r="H14" s="19" t="n">
        <v>96.2</v>
      </c>
    </row>
  </sheetData>
  <mergeCells count="1">
    <mergeCell ref="A1:H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122"/>
  <sheetViews>
    <sheetView showGridLines="0" workbookViewId="0">
      <selection activeCell="A1" sqref="A1"/>
    </sheetView>
  </sheetViews>
  <sheetFormatPr baseColWidth="8" defaultRowHeight="15"/>
  <cols>
    <col width="13" customWidth="1" min="1" max="1"/>
    <col width="14" customWidth="1" min="2" max="2"/>
    <col width="18" customWidth="1" min="3" max="3"/>
    <col width="17" customWidth="1" min="4" max="4"/>
    <col width="26" customWidth="1" min="5" max="5"/>
    <col width="14" customWidth="1" min="6" max="6"/>
    <col width="26" customWidth="1" min="7" max="7"/>
    <col width="12" customWidth="1" min="8" max="8"/>
    <col width="15" customWidth="1" min="9" max="9"/>
    <col width="17" customWidth="1" min="10" max="10"/>
  </cols>
  <sheetData>
    <row r="1" ht="30" customHeight="1">
      <c r="A1" s="16" t="inlineStr">
        <is>
          <t>Defect Log</t>
        </is>
      </c>
    </row>
    <row r="2" ht="28" customHeight="1">
      <c r="A2" s="20" t="inlineStr">
        <is>
          <t>Defect ID</t>
        </is>
      </c>
      <c r="B2" s="20" t="inlineStr">
        <is>
          <t>Date</t>
        </is>
      </c>
      <c r="C2" s="20" t="inlineStr">
        <is>
          <t>Month</t>
        </is>
      </c>
      <c r="D2" s="20" t="inlineStr">
        <is>
          <t>Plant</t>
        </is>
      </c>
      <c r="E2" s="20" t="inlineStr">
        <is>
          <t>Component</t>
        </is>
      </c>
      <c r="F2" s="20" t="inlineStr">
        <is>
          <t>Supplier</t>
        </is>
      </c>
      <c r="G2" s="20" t="inlineStr">
        <is>
          <t>Defect Type</t>
        </is>
      </c>
      <c r="H2" s="20" t="inlineStr">
        <is>
          <t>Severity</t>
        </is>
      </c>
      <c r="I2" s="20" t="inlineStr">
        <is>
          <t>Status</t>
        </is>
      </c>
      <c r="J2" s="20" t="inlineStr">
        <is>
          <t>Days to Close</t>
        </is>
      </c>
    </row>
    <row r="3">
      <c r="A3" s="18" t="inlineStr">
        <is>
          <t>DEF-0001</t>
        </is>
      </c>
      <c r="B3" s="18" t="inlineStr">
        <is>
          <t>2024-11-23</t>
        </is>
      </c>
      <c r="C3" s="18" t="inlineStr">
        <is>
          <t>November 2024</t>
        </is>
      </c>
      <c r="D3" s="18" t="inlineStr">
        <is>
          <t>Stuttgart</t>
        </is>
      </c>
      <c r="E3" s="18" t="inlineStr">
        <is>
          <t>Cylinder Head</t>
        </is>
      </c>
      <c r="F3" s="18" t="inlineStr">
        <is>
          <t>Supplier B</t>
        </is>
      </c>
      <c r="G3" s="18" t="inlineStr">
        <is>
          <t>Surface Corrosion</t>
        </is>
      </c>
      <c r="H3" s="18" t="inlineStr">
        <is>
          <t>Critical</t>
        </is>
      </c>
      <c r="I3" s="18" t="inlineStr">
        <is>
          <t>Closed</t>
        </is>
      </c>
      <c r="J3" s="18" t="n">
        <v>24</v>
      </c>
    </row>
    <row r="4">
      <c r="A4" s="19" t="inlineStr">
        <is>
          <t>DEF-0002</t>
        </is>
      </c>
      <c r="B4" s="19" t="inlineStr">
        <is>
          <t>2024-02-22</t>
        </is>
      </c>
      <c r="C4" s="19" t="inlineStr">
        <is>
          <t>February 2024</t>
        </is>
      </c>
      <c r="D4" s="19" t="inlineStr">
        <is>
          <t>Munich</t>
        </is>
      </c>
      <c r="E4" s="19" t="inlineStr">
        <is>
          <t>Cylinder Head</t>
        </is>
      </c>
      <c r="F4" s="19" t="inlineStr">
        <is>
          <t>Supplier A</t>
        </is>
      </c>
      <c r="G4" s="19" t="inlineStr">
        <is>
          <t>Torque Non-conformance</t>
        </is>
      </c>
      <c r="H4" s="19" t="inlineStr">
        <is>
          <t>Critical</t>
        </is>
      </c>
      <c r="I4" s="19" t="inlineStr">
        <is>
          <t>Closed</t>
        </is>
      </c>
      <c r="J4" s="19" t="n">
        <v>8</v>
      </c>
    </row>
    <row r="5">
      <c r="A5" s="18" t="inlineStr">
        <is>
          <t>DEF-0003</t>
        </is>
      </c>
      <c r="B5" s="18" t="inlineStr">
        <is>
          <t>2024-09-15</t>
        </is>
      </c>
      <c r="C5" s="18" t="inlineStr">
        <is>
          <t>September 2024</t>
        </is>
      </c>
      <c r="D5" s="18" t="inlineStr">
        <is>
          <t>Untertürkheim</t>
        </is>
      </c>
      <c r="E5" s="18" t="inlineStr">
        <is>
          <t>Crankshaft</t>
        </is>
      </c>
      <c r="F5" s="18" t="inlineStr">
        <is>
          <t>Supplier D</t>
        </is>
      </c>
      <c r="G5" s="18" t="inlineStr">
        <is>
          <t>Coating Failure</t>
        </is>
      </c>
      <c r="H5" s="18" t="inlineStr">
        <is>
          <t>Critical</t>
        </is>
      </c>
      <c r="I5" s="18" t="inlineStr">
        <is>
          <t>Open</t>
        </is>
      </c>
      <c r="J5" s="18" t="n">
        <v/>
      </c>
    </row>
    <row r="6">
      <c r="A6" s="19" t="inlineStr">
        <is>
          <t>DEF-0004</t>
        </is>
      </c>
      <c r="B6" s="19" t="inlineStr">
        <is>
          <t>2024-10-28</t>
        </is>
      </c>
      <c r="C6" s="19" t="inlineStr">
        <is>
          <t>October 2024</t>
        </is>
      </c>
      <c r="D6" s="19" t="inlineStr">
        <is>
          <t>Ingolstadt</t>
        </is>
      </c>
      <c r="E6" s="19" t="inlineStr">
        <is>
          <t>Transmission</t>
        </is>
      </c>
      <c r="F6" s="19" t="inlineStr">
        <is>
          <t>Supplier D</t>
        </is>
      </c>
      <c r="G6" s="19" t="inlineStr">
        <is>
          <t>Surface Corrosion</t>
        </is>
      </c>
      <c r="H6" s="19" t="inlineStr">
        <is>
          <t>Major</t>
        </is>
      </c>
      <c r="I6" s="19" t="inlineStr">
        <is>
          <t>Closed</t>
        </is>
      </c>
      <c r="J6" s="19" t="n">
        <v>5</v>
      </c>
    </row>
    <row r="7">
      <c r="A7" s="18" t="inlineStr">
        <is>
          <t>DEF-0005</t>
        </is>
      </c>
      <c r="B7" s="18" t="inlineStr">
        <is>
          <t>2024-04-20</t>
        </is>
      </c>
      <c r="C7" s="18" t="inlineStr">
        <is>
          <t>April 2024</t>
        </is>
      </c>
      <c r="D7" s="18" t="inlineStr">
        <is>
          <t>Munich</t>
        </is>
      </c>
      <c r="E7" s="18" t="inlineStr">
        <is>
          <t>Bushing</t>
        </is>
      </c>
      <c r="F7" s="18" t="inlineStr">
        <is>
          <t>Supplier D</t>
        </is>
      </c>
      <c r="G7" s="18" t="inlineStr">
        <is>
          <t>Dimensional Deviation</t>
        </is>
      </c>
      <c r="H7" s="18" t="inlineStr">
        <is>
          <t>Critical</t>
        </is>
      </c>
      <c r="I7" s="18" t="inlineStr">
        <is>
          <t>Closed</t>
        </is>
      </c>
      <c r="J7" s="18" t="n">
        <v>28</v>
      </c>
    </row>
    <row r="8">
      <c r="A8" s="19" t="inlineStr">
        <is>
          <t>DEF-0006</t>
        </is>
      </c>
      <c r="B8" s="19" t="inlineStr">
        <is>
          <t>2024-06-25</t>
        </is>
      </c>
      <c r="C8" s="19" t="inlineStr">
        <is>
          <t>June 2024</t>
        </is>
      </c>
      <c r="D8" s="19" t="inlineStr">
        <is>
          <t>Sindelfingen</t>
        </is>
      </c>
      <c r="E8" s="19" t="inlineStr">
        <is>
          <t>Transmission</t>
        </is>
      </c>
      <c r="F8" s="19" t="inlineStr">
        <is>
          <t>Supplier E</t>
        </is>
      </c>
      <c r="G8" s="19" t="inlineStr">
        <is>
          <t>Surface Corrosion</t>
        </is>
      </c>
      <c r="H8" s="19" t="inlineStr">
        <is>
          <t>Critical</t>
        </is>
      </c>
      <c r="I8" s="19" t="inlineStr">
        <is>
          <t>Open</t>
        </is>
      </c>
      <c r="J8" s="19" t="n">
        <v/>
      </c>
    </row>
    <row r="9">
      <c r="A9" s="18" t="inlineStr">
        <is>
          <t>DEF-0007</t>
        </is>
      </c>
      <c r="B9" s="18" t="inlineStr">
        <is>
          <t>2024-02-10</t>
        </is>
      </c>
      <c r="C9" s="18" t="inlineStr">
        <is>
          <t>February 2024</t>
        </is>
      </c>
      <c r="D9" s="18" t="inlineStr">
        <is>
          <t>Untertürkheim</t>
        </is>
      </c>
      <c r="E9" s="18" t="inlineStr">
        <is>
          <t>Transmission</t>
        </is>
      </c>
      <c r="F9" s="18" t="inlineStr">
        <is>
          <t>Supplier B</t>
        </is>
      </c>
      <c r="G9" s="18" t="inlineStr">
        <is>
          <t>Missing Component</t>
        </is>
      </c>
      <c r="H9" s="18" t="inlineStr">
        <is>
          <t>Minor</t>
        </is>
      </c>
      <c r="I9" s="18" t="inlineStr">
        <is>
          <t>Closed</t>
        </is>
      </c>
      <c r="J9" s="18" t="n">
        <v>2</v>
      </c>
    </row>
    <row r="10">
      <c r="A10" s="19" t="inlineStr">
        <is>
          <t>DEF-0008</t>
        </is>
      </c>
      <c r="B10" s="19" t="inlineStr">
        <is>
          <t>2024-12-04</t>
        </is>
      </c>
      <c r="C10" s="19" t="inlineStr">
        <is>
          <t>December 2024</t>
        </is>
      </c>
      <c r="D10" s="19" t="inlineStr">
        <is>
          <t>Munich</t>
        </is>
      </c>
      <c r="E10" s="19" t="inlineStr">
        <is>
          <t>eATS Motor</t>
        </is>
      </c>
      <c r="F10" s="19" t="inlineStr">
        <is>
          <t>Supplier B</t>
        </is>
      </c>
      <c r="G10" s="19" t="inlineStr">
        <is>
          <t>Contamination</t>
        </is>
      </c>
      <c r="H10" s="19" t="inlineStr">
        <is>
          <t>Critical</t>
        </is>
      </c>
      <c r="I10" s="19" t="inlineStr">
        <is>
          <t>Open</t>
        </is>
      </c>
      <c r="J10" s="19" t="n">
        <v/>
      </c>
    </row>
    <row r="11">
      <c r="A11" s="18" t="inlineStr">
        <is>
          <t>DEF-0009</t>
        </is>
      </c>
      <c r="B11" s="18" t="inlineStr">
        <is>
          <t>2024-05-22</t>
        </is>
      </c>
      <c r="C11" s="18" t="inlineStr">
        <is>
          <t>May 2024</t>
        </is>
      </c>
      <c r="D11" s="18" t="inlineStr">
        <is>
          <t>Ingolstadt</t>
        </is>
      </c>
      <c r="E11" s="18" t="inlineStr">
        <is>
          <t>Coil Assembly</t>
        </is>
      </c>
      <c r="F11" s="18" t="inlineStr">
        <is>
          <t>Supplier C</t>
        </is>
      </c>
      <c r="G11" s="18" t="inlineStr">
        <is>
          <t>Missing Component</t>
        </is>
      </c>
      <c r="H11" s="18" t="inlineStr">
        <is>
          <t>Major</t>
        </is>
      </c>
      <c r="I11" s="18" t="inlineStr">
        <is>
          <t>Closed</t>
        </is>
      </c>
      <c r="J11" s="18" t="n">
        <v>22</v>
      </c>
    </row>
    <row r="12">
      <c r="A12" s="19" t="inlineStr">
        <is>
          <t>DEF-0010</t>
        </is>
      </c>
      <c r="B12" s="19" t="inlineStr">
        <is>
          <t>2024-05-16</t>
        </is>
      </c>
      <c r="C12" s="19" t="inlineStr">
        <is>
          <t>May 2024</t>
        </is>
      </c>
      <c r="D12" s="19" t="inlineStr">
        <is>
          <t>Untertürkheim</t>
        </is>
      </c>
      <c r="E12" s="19" t="inlineStr">
        <is>
          <t>Cylinder Head</t>
        </is>
      </c>
      <c r="F12" s="19" t="inlineStr">
        <is>
          <t>Supplier B</t>
        </is>
      </c>
      <c r="G12" s="19" t="inlineStr">
        <is>
          <t>Assembly Error</t>
        </is>
      </c>
      <c r="H12" s="19" t="inlineStr">
        <is>
          <t>Critical</t>
        </is>
      </c>
      <c r="I12" s="19" t="inlineStr">
        <is>
          <t>Open</t>
        </is>
      </c>
      <c r="J12" s="19" t="n">
        <v/>
      </c>
    </row>
    <row r="13">
      <c r="A13" s="18" t="inlineStr">
        <is>
          <t>DEF-0011</t>
        </is>
      </c>
      <c r="B13" s="18" t="inlineStr">
        <is>
          <t>2024-07-13</t>
        </is>
      </c>
      <c r="C13" s="18" t="inlineStr">
        <is>
          <t>July 2024</t>
        </is>
      </c>
      <c r="D13" s="18" t="inlineStr">
        <is>
          <t>Stuttgart</t>
        </is>
      </c>
      <c r="E13" s="18" t="inlineStr">
        <is>
          <t>Transmission</t>
        </is>
      </c>
      <c r="F13" s="18" t="inlineStr">
        <is>
          <t>Supplier A</t>
        </is>
      </c>
      <c r="G13" s="18" t="inlineStr">
        <is>
          <t>Coating Failure</t>
        </is>
      </c>
      <c r="H13" s="18" t="inlineStr">
        <is>
          <t>Critical</t>
        </is>
      </c>
      <c r="I13" s="18" t="inlineStr">
        <is>
          <t>Closed</t>
        </is>
      </c>
      <c r="J13" s="18" t="n">
        <v>26</v>
      </c>
    </row>
    <row r="14">
      <c r="A14" s="19" t="inlineStr">
        <is>
          <t>DEF-0012</t>
        </is>
      </c>
      <c r="B14" s="19" t="inlineStr">
        <is>
          <t>2024-06-10</t>
        </is>
      </c>
      <c r="C14" s="19" t="inlineStr">
        <is>
          <t>June 2024</t>
        </is>
      </c>
      <c r="D14" s="19" t="inlineStr">
        <is>
          <t>Munich</t>
        </is>
      </c>
      <c r="E14" s="19" t="inlineStr">
        <is>
          <t>Instrument Transformer</t>
        </is>
      </c>
      <c r="F14" s="19" t="inlineStr">
        <is>
          <t>Supplier B</t>
        </is>
      </c>
      <c r="G14" s="19" t="inlineStr">
        <is>
          <t>Contamination</t>
        </is>
      </c>
      <c r="H14" s="19" t="inlineStr">
        <is>
          <t>Minor</t>
        </is>
      </c>
      <c r="I14" s="19" t="inlineStr">
        <is>
          <t>Closed</t>
        </is>
      </c>
      <c r="J14" s="19" t="n">
        <v>7</v>
      </c>
    </row>
    <row r="15">
      <c r="A15" s="18" t="inlineStr">
        <is>
          <t>DEF-0013</t>
        </is>
      </c>
      <c r="B15" s="18" t="inlineStr">
        <is>
          <t>2024-12-01</t>
        </is>
      </c>
      <c r="C15" s="18" t="inlineStr">
        <is>
          <t>December 2024</t>
        </is>
      </c>
      <c r="D15" s="18" t="inlineStr">
        <is>
          <t>Sindelfingen</t>
        </is>
      </c>
      <c r="E15" s="18" t="inlineStr">
        <is>
          <t>Coil Assembly</t>
        </is>
      </c>
      <c r="F15" s="18" t="inlineStr">
        <is>
          <t>Supplier B</t>
        </is>
      </c>
      <c r="G15" s="18" t="inlineStr">
        <is>
          <t>Torque Non-conformance</t>
        </is>
      </c>
      <c r="H15" s="18" t="inlineStr">
        <is>
          <t>Major</t>
        </is>
      </c>
      <c r="I15" s="18" t="inlineStr">
        <is>
          <t>Closed</t>
        </is>
      </c>
      <c r="J15" s="18" t="n">
        <v>8</v>
      </c>
    </row>
    <row r="16">
      <c r="A16" s="19" t="inlineStr">
        <is>
          <t>DEF-0014</t>
        </is>
      </c>
      <c r="B16" s="19" t="inlineStr">
        <is>
          <t>2024-10-14</t>
        </is>
      </c>
      <c r="C16" s="19" t="inlineStr">
        <is>
          <t>October 2024</t>
        </is>
      </c>
      <c r="D16" s="19" t="inlineStr">
        <is>
          <t>Untertürkheim</t>
        </is>
      </c>
      <c r="E16" s="19" t="inlineStr">
        <is>
          <t>Transmission</t>
        </is>
      </c>
      <c r="F16" s="19" t="inlineStr">
        <is>
          <t>Supplier D</t>
        </is>
      </c>
      <c r="G16" s="19" t="inlineStr">
        <is>
          <t>Torque Non-conformance</t>
        </is>
      </c>
      <c r="H16" s="19" t="inlineStr">
        <is>
          <t>Major</t>
        </is>
      </c>
      <c r="I16" s="19" t="inlineStr">
        <is>
          <t>Closed</t>
        </is>
      </c>
      <c r="J16" s="19" t="n">
        <v>5</v>
      </c>
    </row>
    <row r="17">
      <c r="A17" s="18" t="inlineStr">
        <is>
          <t>DEF-0015</t>
        </is>
      </c>
      <c r="B17" s="18" t="inlineStr">
        <is>
          <t>2024-09-17</t>
        </is>
      </c>
      <c r="C17" s="18" t="inlineStr">
        <is>
          <t>September 2024</t>
        </is>
      </c>
      <c r="D17" s="18" t="inlineStr">
        <is>
          <t>Munich</t>
        </is>
      </c>
      <c r="E17" s="18" t="inlineStr">
        <is>
          <t>Coil Assembly</t>
        </is>
      </c>
      <c r="F17" s="18" t="inlineStr">
        <is>
          <t>Supplier A</t>
        </is>
      </c>
      <c r="G17" s="18" t="inlineStr">
        <is>
          <t>Dimensional Deviation</t>
        </is>
      </c>
      <c r="H17" s="18" t="inlineStr">
        <is>
          <t>Critical</t>
        </is>
      </c>
      <c r="I17" s="18" t="inlineStr">
        <is>
          <t>Closed</t>
        </is>
      </c>
      <c r="J17" s="18" t="n">
        <v>26</v>
      </c>
    </row>
    <row r="18">
      <c r="A18" s="19" t="inlineStr">
        <is>
          <t>DEF-0016</t>
        </is>
      </c>
      <c r="B18" s="19" t="inlineStr">
        <is>
          <t>2024-12-14</t>
        </is>
      </c>
      <c r="C18" s="19" t="inlineStr">
        <is>
          <t>December 2024</t>
        </is>
      </c>
      <c r="D18" s="19" t="inlineStr">
        <is>
          <t>Sindelfingen</t>
        </is>
      </c>
      <c r="E18" s="19" t="inlineStr">
        <is>
          <t>Instrument Transformer</t>
        </is>
      </c>
      <c r="F18" s="19" t="inlineStr">
        <is>
          <t>Supplier D</t>
        </is>
      </c>
      <c r="G18" s="19" t="inlineStr">
        <is>
          <t>Dimensional Deviation</t>
        </is>
      </c>
      <c r="H18" s="19" t="inlineStr">
        <is>
          <t>Minor</t>
        </is>
      </c>
      <c r="I18" s="19" t="inlineStr">
        <is>
          <t>Open</t>
        </is>
      </c>
      <c r="J18" s="19" t="n">
        <v/>
      </c>
    </row>
    <row r="19">
      <c r="A19" s="18" t="inlineStr">
        <is>
          <t>DEF-0017</t>
        </is>
      </c>
      <c r="B19" s="18" t="inlineStr">
        <is>
          <t>2024-09-27</t>
        </is>
      </c>
      <c r="C19" s="18" t="inlineStr">
        <is>
          <t>September 2024</t>
        </is>
      </c>
      <c r="D19" s="18" t="inlineStr">
        <is>
          <t>Munich</t>
        </is>
      </c>
      <c r="E19" s="18" t="inlineStr">
        <is>
          <t>Transmission</t>
        </is>
      </c>
      <c r="F19" s="18" t="inlineStr">
        <is>
          <t>Supplier E</t>
        </is>
      </c>
      <c r="G19" s="18" t="inlineStr">
        <is>
          <t>Surface Corrosion</t>
        </is>
      </c>
      <c r="H19" s="18" t="inlineStr">
        <is>
          <t>Major</t>
        </is>
      </c>
      <c r="I19" s="18" t="inlineStr">
        <is>
          <t>Closed</t>
        </is>
      </c>
      <c r="J19" s="18" t="n">
        <v>4</v>
      </c>
    </row>
    <row r="20">
      <c r="A20" s="19" t="inlineStr">
        <is>
          <t>DEF-0018</t>
        </is>
      </c>
      <c r="B20" s="19" t="inlineStr">
        <is>
          <t>2024-05-30</t>
        </is>
      </c>
      <c r="C20" s="19" t="inlineStr">
        <is>
          <t>May 2024</t>
        </is>
      </c>
      <c r="D20" s="19" t="inlineStr">
        <is>
          <t>Sindelfingen</t>
        </is>
      </c>
      <c r="E20" s="19" t="inlineStr">
        <is>
          <t>Instrument Transformer</t>
        </is>
      </c>
      <c r="F20" s="19" t="inlineStr">
        <is>
          <t>Supplier A</t>
        </is>
      </c>
      <c r="G20" s="19" t="inlineStr">
        <is>
          <t>Assembly Error</t>
        </is>
      </c>
      <c r="H20" s="19" t="inlineStr">
        <is>
          <t>Minor</t>
        </is>
      </c>
      <c r="I20" s="19" t="inlineStr">
        <is>
          <t>Closed</t>
        </is>
      </c>
      <c r="J20" s="19" t="n">
        <v>17</v>
      </c>
    </row>
    <row r="21">
      <c r="A21" s="18" t="inlineStr">
        <is>
          <t>DEF-0019</t>
        </is>
      </c>
      <c r="B21" s="18" t="inlineStr">
        <is>
          <t>2024-04-01</t>
        </is>
      </c>
      <c r="C21" s="18" t="inlineStr">
        <is>
          <t>April 2024</t>
        </is>
      </c>
      <c r="D21" s="18" t="inlineStr">
        <is>
          <t>Untertürkheim</t>
        </is>
      </c>
      <c r="E21" s="18" t="inlineStr">
        <is>
          <t>Cylinder Head</t>
        </is>
      </c>
      <c r="F21" s="18" t="inlineStr">
        <is>
          <t>Supplier E</t>
        </is>
      </c>
      <c r="G21" s="18" t="inlineStr">
        <is>
          <t>Contamination</t>
        </is>
      </c>
      <c r="H21" s="18" t="inlineStr">
        <is>
          <t>Critical</t>
        </is>
      </c>
      <c r="I21" s="18" t="inlineStr">
        <is>
          <t>Closed</t>
        </is>
      </c>
      <c r="J21" s="18" t="n">
        <v>12</v>
      </c>
    </row>
    <row r="22">
      <c r="A22" s="19" t="inlineStr">
        <is>
          <t>DEF-0020</t>
        </is>
      </c>
      <c r="B22" s="19" t="inlineStr">
        <is>
          <t>2024-03-23</t>
        </is>
      </c>
      <c r="C22" s="19" t="inlineStr">
        <is>
          <t>March 2024</t>
        </is>
      </c>
      <c r="D22" s="19" t="inlineStr">
        <is>
          <t>Sindelfingen</t>
        </is>
      </c>
      <c r="E22" s="19" t="inlineStr">
        <is>
          <t>Crankshaft</t>
        </is>
      </c>
      <c r="F22" s="19" t="inlineStr">
        <is>
          <t>Supplier A</t>
        </is>
      </c>
      <c r="G22" s="19" t="inlineStr">
        <is>
          <t>Missing Component</t>
        </is>
      </c>
      <c r="H22" s="19" t="inlineStr">
        <is>
          <t>Critical</t>
        </is>
      </c>
      <c r="I22" s="19" t="inlineStr">
        <is>
          <t>Closed</t>
        </is>
      </c>
      <c r="J22" s="19" t="n">
        <v>29</v>
      </c>
    </row>
    <row r="23">
      <c r="A23" s="18" t="inlineStr">
        <is>
          <t>DEF-0021</t>
        </is>
      </c>
      <c r="B23" s="18" t="inlineStr">
        <is>
          <t>2024-06-06</t>
        </is>
      </c>
      <c r="C23" s="18" t="inlineStr">
        <is>
          <t>June 2024</t>
        </is>
      </c>
      <c r="D23" s="18" t="inlineStr">
        <is>
          <t>Ingolstadt</t>
        </is>
      </c>
      <c r="E23" s="18" t="inlineStr">
        <is>
          <t>eATS Motor</t>
        </is>
      </c>
      <c r="F23" s="18" t="inlineStr">
        <is>
          <t>Supplier E</t>
        </is>
      </c>
      <c r="G23" s="18" t="inlineStr">
        <is>
          <t>Surface Corrosion</t>
        </is>
      </c>
      <c r="H23" s="18" t="inlineStr">
        <is>
          <t>Critical</t>
        </is>
      </c>
      <c r="I23" s="18" t="inlineStr">
        <is>
          <t>Closed</t>
        </is>
      </c>
      <c r="J23" s="18" t="n">
        <v>24</v>
      </c>
    </row>
    <row r="24">
      <c r="A24" s="19" t="inlineStr">
        <is>
          <t>DEF-0022</t>
        </is>
      </c>
      <c r="B24" s="19" t="inlineStr">
        <is>
          <t>2024-09-05</t>
        </is>
      </c>
      <c r="C24" s="19" t="inlineStr">
        <is>
          <t>September 2024</t>
        </is>
      </c>
      <c r="D24" s="19" t="inlineStr">
        <is>
          <t>Ingolstadt</t>
        </is>
      </c>
      <c r="E24" s="19" t="inlineStr">
        <is>
          <t>Cylinder Head</t>
        </is>
      </c>
      <c r="F24" s="19" t="inlineStr">
        <is>
          <t>Supplier D</t>
        </is>
      </c>
      <c r="G24" s="19" t="inlineStr">
        <is>
          <t>Assembly Error</t>
        </is>
      </c>
      <c r="H24" s="19" t="inlineStr">
        <is>
          <t>Minor</t>
        </is>
      </c>
      <c r="I24" s="19" t="inlineStr">
        <is>
          <t>Closed</t>
        </is>
      </c>
      <c r="J24" s="19" t="n">
        <v>9</v>
      </c>
    </row>
    <row r="25">
      <c r="A25" s="18" t="inlineStr">
        <is>
          <t>DEF-0023</t>
        </is>
      </c>
      <c r="B25" s="18" t="inlineStr">
        <is>
          <t>2024-09-27</t>
        </is>
      </c>
      <c r="C25" s="18" t="inlineStr">
        <is>
          <t>September 2024</t>
        </is>
      </c>
      <c r="D25" s="18" t="inlineStr">
        <is>
          <t>Untertürkheim</t>
        </is>
      </c>
      <c r="E25" s="18" t="inlineStr">
        <is>
          <t>Instrument Transformer</t>
        </is>
      </c>
      <c r="F25" s="18" t="inlineStr">
        <is>
          <t>Supplier B</t>
        </is>
      </c>
      <c r="G25" s="18" t="inlineStr">
        <is>
          <t>Coating Failure</t>
        </is>
      </c>
      <c r="H25" s="18" t="inlineStr">
        <is>
          <t>Minor</t>
        </is>
      </c>
      <c r="I25" s="18" t="inlineStr">
        <is>
          <t>Closed</t>
        </is>
      </c>
      <c r="J25" s="18" t="n">
        <v>13</v>
      </c>
    </row>
    <row r="26">
      <c r="A26" s="19" t="inlineStr">
        <is>
          <t>DEF-0024</t>
        </is>
      </c>
      <c r="B26" s="19" t="inlineStr">
        <is>
          <t>2024-12-09</t>
        </is>
      </c>
      <c r="C26" s="19" t="inlineStr">
        <is>
          <t>December 2024</t>
        </is>
      </c>
      <c r="D26" s="19" t="inlineStr">
        <is>
          <t>Untertürkheim</t>
        </is>
      </c>
      <c r="E26" s="19" t="inlineStr">
        <is>
          <t>Bushing</t>
        </is>
      </c>
      <c r="F26" s="19" t="inlineStr">
        <is>
          <t>Supplier D</t>
        </is>
      </c>
      <c r="G26" s="19" t="inlineStr">
        <is>
          <t>Weld Defect</t>
        </is>
      </c>
      <c r="H26" s="19" t="inlineStr">
        <is>
          <t>Critical</t>
        </is>
      </c>
      <c r="I26" s="19" t="inlineStr">
        <is>
          <t>Closed</t>
        </is>
      </c>
      <c r="J26" s="19" t="n">
        <v>8</v>
      </c>
    </row>
    <row r="27">
      <c r="A27" s="18" t="inlineStr">
        <is>
          <t>DEF-0025</t>
        </is>
      </c>
      <c r="B27" s="18" t="inlineStr">
        <is>
          <t>2024-02-02</t>
        </is>
      </c>
      <c r="C27" s="18" t="inlineStr">
        <is>
          <t>February 2024</t>
        </is>
      </c>
      <c r="D27" s="18" t="inlineStr">
        <is>
          <t>Untertürkheim</t>
        </is>
      </c>
      <c r="E27" s="18" t="inlineStr">
        <is>
          <t>Bushing</t>
        </is>
      </c>
      <c r="F27" s="18" t="inlineStr">
        <is>
          <t>Supplier E</t>
        </is>
      </c>
      <c r="G27" s="18" t="inlineStr">
        <is>
          <t>Surface Corrosion</t>
        </is>
      </c>
      <c r="H27" s="18" t="inlineStr">
        <is>
          <t>Critical</t>
        </is>
      </c>
      <c r="I27" s="18" t="inlineStr">
        <is>
          <t>In Progress</t>
        </is>
      </c>
      <c r="J27" s="18" t="n">
        <v/>
      </c>
    </row>
    <row r="28">
      <c r="A28" s="19" t="inlineStr">
        <is>
          <t>DEF-0026</t>
        </is>
      </c>
      <c r="B28" s="19" t="inlineStr">
        <is>
          <t>2024-04-22</t>
        </is>
      </c>
      <c r="C28" s="19" t="inlineStr">
        <is>
          <t>April 2024</t>
        </is>
      </c>
      <c r="D28" s="19" t="inlineStr">
        <is>
          <t>Munich</t>
        </is>
      </c>
      <c r="E28" s="19" t="inlineStr">
        <is>
          <t>Crankshaft</t>
        </is>
      </c>
      <c r="F28" s="19" t="inlineStr">
        <is>
          <t>Supplier B</t>
        </is>
      </c>
      <c r="G28" s="19" t="inlineStr">
        <is>
          <t>Dimensional Deviation</t>
        </is>
      </c>
      <c r="H28" s="19" t="inlineStr">
        <is>
          <t>Critical</t>
        </is>
      </c>
      <c r="I28" s="19" t="inlineStr">
        <is>
          <t>Closed</t>
        </is>
      </c>
      <c r="J28" s="19" t="n">
        <v>28</v>
      </c>
    </row>
    <row r="29">
      <c r="A29" s="18" t="inlineStr">
        <is>
          <t>DEF-0027</t>
        </is>
      </c>
      <c r="B29" s="18" t="inlineStr">
        <is>
          <t>2024-06-18</t>
        </is>
      </c>
      <c r="C29" s="18" t="inlineStr">
        <is>
          <t>June 2024</t>
        </is>
      </c>
      <c r="D29" s="18" t="inlineStr">
        <is>
          <t>Stuttgart</t>
        </is>
      </c>
      <c r="E29" s="18" t="inlineStr">
        <is>
          <t>Cylinder Head</t>
        </is>
      </c>
      <c r="F29" s="18" t="inlineStr">
        <is>
          <t>Supplier D</t>
        </is>
      </c>
      <c r="G29" s="18" t="inlineStr">
        <is>
          <t>Coating Failure</t>
        </is>
      </c>
      <c r="H29" s="18" t="inlineStr">
        <is>
          <t>Critical</t>
        </is>
      </c>
      <c r="I29" s="18" t="inlineStr">
        <is>
          <t>In Progress</t>
        </is>
      </c>
      <c r="J29" s="18" t="n">
        <v/>
      </c>
    </row>
    <row r="30">
      <c r="A30" s="19" t="inlineStr">
        <is>
          <t>DEF-0028</t>
        </is>
      </c>
      <c r="B30" s="19" t="inlineStr">
        <is>
          <t>2024-03-08</t>
        </is>
      </c>
      <c r="C30" s="19" t="inlineStr">
        <is>
          <t>March 2024</t>
        </is>
      </c>
      <c r="D30" s="19" t="inlineStr">
        <is>
          <t>Sindelfingen</t>
        </is>
      </c>
      <c r="E30" s="19" t="inlineStr">
        <is>
          <t>Coil Assembly</t>
        </is>
      </c>
      <c r="F30" s="19" t="inlineStr">
        <is>
          <t>Supplier D</t>
        </is>
      </c>
      <c r="G30" s="19" t="inlineStr">
        <is>
          <t>Coating Failure</t>
        </is>
      </c>
      <c r="H30" s="19" t="inlineStr">
        <is>
          <t>Critical</t>
        </is>
      </c>
      <c r="I30" s="19" t="inlineStr">
        <is>
          <t>Closed</t>
        </is>
      </c>
      <c r="J30" s="19" t="n">
        <v>4</v>
      </c>
    </row>
    <row r="31">
      <c r="A31" s="18" t="inlineStr">
        <is>
          <t>DEF-0029</t>
        </is>
      </c>
      <c r="B31" s="18" t="inlineStr">
        <is>
          <t>2024-12-03</t>
        </is>
      </c>
      <c r="C31" s="18" t="inlineStr">
        <is>
          <t>December 2024</t>
        </is>
      </c>
      <c r="D31" s="18" t="inlineStr">
        <is>
          <t>Sindelfingen</t>
        </is>
      </c>
      <c r="E31" s="18" t="inlineStr">
        <is>
          <t>Instrument Transformer</t>
        </is>
      </c>
      <c r="F31" s="18" t="inlineStr">
        <is>
          <t>Supplier D</t>
        </is>
      </c>
      <c r="G31" s="18" t="inlineStr">
        <is>
          <t>Missing Component</t>
        </is>
      </c>
      <c r="H31" s="18" t="inlineStr">
        <is>
          <t>Major</t>
        </is>
      </c>
      <c r="I31" s="18" t="inlineStr">
        <is>
          <t>Closed</t>
        </is>
      </c>
      <c r="J31" s="18" t="n">
        <v>22</v>
      </c>
    </row>
    <row r="32">
      <c r="A32" s="19" t="inlineStr">
        <is>
          <t>DEF-0030</t>
        </is>
      </c>
      <c r="B32" s="19" t="inlineStr">
        <is>
          <t>2024-11-30</t>
        </is>
      </c>
      <c r="C32" s="19" t="inlineStr">
        <is>
          <t>November 2024</t>
        </is>
      </c>
      <c r="D32" s="19" t="inlineStr">
        <is>
          <t>Sindelfingen</t>
        </is>
      </c>
      <c r="E32" s="19" t="inlineStr">
        <is>
          <t>Cylinder Head</t>
        </is>
      </c>
      <c r="F32" s="19" t="inlineStr">
        <is>
          <t>Supplier C</t>
        </is>
      </c>
      <c r="G32" s="19" t="inlineStr">
        <is>
          <t>Surface Corrosion</t>
        </is>
      </c>
      <c r="H32" s="19" t="inlineStr">
        <is>
          <t>Critical</t>
        </is>
      </c>
      <c r="I32" s="19" t="inlineStr">
        <is>
          <t>Closed</t>
        </is>
      </c>
      <c r="J32" s="19" t="n">
        <v>7</v>
      </c>
    </row>
    <row r="33">
      <c r="A33" s="18" t="inlineStr">
        <is>
          <t>DEF-0031</t>
        </is>
      </c>
      <c r="B33" s="18" t="inlineStr">
        <is>
          <t>2024-04-07</t>
        </is>
      </c>
      <c r="C33" s="18" t="inlineStr">
        <is>
          <t>April 2024</t>
        </is>
      </c>
      <c r="D33" s="18" t="inlineStr">
        <is>
          <t>Sindelfingen</t>
        </is>
      </c>
      <c r="E33" s="18" t="inlineStr">
        <is>
          <t>Coil Assembly</t>
        </is>
      </c>
      <c r="F33" s="18" t="inlineStr">
        <is>
          <t>Supplier B</t>
        </is>
      </c>
      <c r="G33" s="18" t="inlineStr">
        <is>
          <t>Assembly Error</t>
        </is>
      </c>
      <c r="H33" s="18" t="inlineStr">
        <is>
          <t>Major</t>
        </is>
      </c>
      <c r="I33" s="18" t="inlineStr">
        <is>
          <t>Open</t>
        </is>
      </c>
      <c r="J33" s="18" t="n">
        <v/>
      </c>
    </row>
    <row r="34">
      <c r="A34" s="19" t="inlineStr">
        <is>
          <t>DEF-0032</t>
        </is>
      </c>
      <c r="B34" s="19" t="inlineStr">
        <is>
          <t>2024-05-07</t>
        </is>
      </c>
      <c r="C34" s="19" t="inlineStr">
        <is>
          <t>May 2024</t>
        </is>
      </c>
      <c r="D34" s="19" t="inlineStr">
        <is>
          <t>Untertürkheim</t>
        </is>
      </c>
      <c r="E34" s="19" t="inlineStr">
        <is>
          <t>Cylinder Head</t>
        </is>
      </c>
      <c r="F34" s="19" t="inlineStr">
        <is>
          <t>Supplier A</t>
        </is>
      </c>
      <c r="G34" s="19" t="inlineStr">
        <is>
          <t>Weld Defect</t>
        </is>
      </c>
      <c r="H34" s="19" t="inlineStr">
        <is>
          <t>Critical</t>
        </is>
      </c>
      <c r="I34" s="19" t="inlineStr">
        <is>
          <t>In Progress</t>
        </is>
      </c>
      <c r="J34" s="19" t="n">
        <v/>
      </c>
    </row>
    <row r="35">
      <c r="A35" s="18" t="inlineStr">
        <is>
          <t>DEF-0033</t>
        </is>
      </c>
      <c r="B35" s="18" t="inlineStr">
        <is>
          <t>2024-01-08</t>
        </is>
      </c>
      <c r="C35" s="18" t="inlineStr">
        <is>
          <t>January 2024</t>
        </is>
      </c>
      <c r="D35" s="18" t="inlineStr">
        <is>
          <t>Ingolstadt</t>
        </is>
      </c>
      <c r="E35" s="18" t="inlineStr">
        <is>
          <t>Cylinder Head</t>
        </is>
      </c>
      <c r="F35" s="18" t="inlineStr">
        <is>
          <t>Supplier D</t>
        </is>
      </c>
      <c r="G35" s="18" t="inlineStr">
        <is>
          <t>Coating Failure</t>
        </is>
      </c>
      <c r="H35" s="18" t="inlineStr">
        <is>
          <t>Major</t>
        </is>
      </c>
      <c r="I35" s="18" t="inlineStr">
        <is>
          <t>Open</t>
        </is>
      </c>
      <c r="J35" s="18" t="n">
        <v/>
      </c>
    </row>
    <row r="36">
      <c r="A36" s="19" t="inlineStr">
        <is>
          <t>DEF-0034</t>
        </is>
      </c>
      <c r="B36" s="19" t="inlineStr">
        <is>
          <t>2024-04-19</t>
        </is>
      </c>
      <c r="C36" s="19" t="inlineStr">
        <is>
          <t>April 2024</t>
        </is>
      </c>
      <c r="D36" s="19" t="inlineStr">
        <is>
          <t>Ingolstadt</t>
        </is>
      </c>
      <c r="E36" s="19" t="inlineStr">
        <is>
          <t>Instrument Transformer</t>
        </is>
      </c>
      <c r="F36" s="19" t="inlineStr">
        <is>
          <t>Supplier D</t>
        </is>
      </c>
      <c r="G36" s="19" t="inlineStr">
        <is>
          <t>Surface Corrosion</t>
        </is>
      </c>
      <c r="H36" s="19" t="inlineStr">
        <is>
          <t>Critical</t>
        </is>
      </c>
      <c r="I36" s="19" t="inlineStr">
        <is>
          <t>Open</t>
        </is>
      </c>
      <c r="J36" s="19" t="n">
        <v/>
      </c>
    </row>
    <row r="37">
      <c r="A37" s="18" t="inlineStr">
        <is>
          <t>DEF-0035</t>
        </is>
      </c>
      <c r="B37" s="18" t="inlineStr">
        <is>
          <t>2024-05-15</t>
        </is>
      </c>
      <c r="C37" s="18" t="inlineStr">
        <is>
          <t>May 2024</t>
        </is>
      </c>
      <c r="D37" s="18" t="inlineStr">
        <is>
          <t>Sindelfingen</t>
        </is>
      </c>
      <c r="E37" s="18" t="inlineStr">
        <is>
          <t>Coil Assembly</t>
        </is>
      </c>
      <c r="F37" s="18" t="inlineStr">
        <is>
          <t>Supplier E</t>
        </is>
      </c>
      <c r="G37" s="18" t="inlineStr">
        <is>
          <t>Contamination</t>
        </is>
      </c>
      <c r="H37" s="18" t="inlineStr">
        <is>
          <t>Minor</t>
        </is>
      </c>
      <c r="I37" s="18" t="inlineStr">
        <is>
          <t>Open</t>
        </is>
      </c>
      <c r="J37" s="18" t="n">
        <v/>
      </c>
    </row>
    <row r="38">
      <c r="A38" s="19" t="inlineStr">
        <is>
          <t>DEF-0036</t>
        </is>
      </c>
      <c r="B38" s="19" t="inlineStr">
        <is>
          <t>2024-03-20</t>
        </is>
      </c>
      <c r="C38" s="19" t="inlineStr">
        <is>
          <t>March 2024</t>
        </is>
      </c>
      <c r="D38" s="19" t="inlineStr">
        <is>
          <t>Ingolstadt</t>
        </is>
      </c>
      <c r="E38" s="19" t="inlineStr">
        <is>
          <t>eATS Motor</t>
        </is>
      </c>
      <c r="F38" s="19" t="inlineStr">
        <is>
          <t>Supplier A</t>
        </is>
      </c>
      <c r="G38" s="19" t="inlineStr">
        <is>
          <t>Contamination</t>
        </is>
      </c>
      <c r="H38" s="19" t="inlineStr">
        <is>
          <t>Minor</t>
        </is>
      </c>
      <c r="I38" s="19" t="inlineStr">
        <is>
          <t>In Progress</t>
        </is>
      </c>
      <c r="J38" s="19" t="n">
        <v/>
      </c>
    </row>
    <row r="39">
      <c r="A39" s="18" t="inlineStr">
        <is>
          <t>DEF-0037</t>
        </is>
      </c>
      <c r="B39" s="18" t="inlineStr">
        <is>
          <t>2024-02-01</t>
        </is>
      </c>
      <c r="C39" s="18" t="inlineStr">
        <is>
          <t>February 2024</t>
        </is>
      </c>
      <c r="D39" s="18" t="inlineStr">
        <is>
          <t>Munich</t>
        </is>
      </c>
      <c r="E39" s="18" t="inlineStr">
        <is>
          <t>Bushing</t>
        </is>
      </c>
      <c r="F39" s="18" t="inlineStr">
        <is>
          <t>Supplier E</t>
        </is>
      </c>
      <c r="G39" s="18" t="inlineStr">
        <is>
          <t>Surface Corrosion</t>
        </is>
      </c>
      <c r="H39" s="18" t="inlineStr">
        <is>
          <t>Major</t>
        </is>
      </c>
      <c r="I39" s="18" t="inlineStr">
        <is>
          <t>In Progress</t>
        </is>
      </c>
      <c r="J39" s="18" t="n">
        <v/>
      </c>
    </row>
    <row r="40">
      <c r="A40" s="19" t="inlineStr">
        <is>
          <t>DEF-0038</t>
        </is>
      </c>
      <c r="B40" s="19" t="inlineStr">
        <is>
          <t>2024-09-28</t>
        </is>
      </c>
      <c r="C40" s="19" t="inlineStr">
        <is>
          <t>September 2024</t>
        </is>
      </c>
      <c r="D40" s="19" t="inlineStr">
        <is>
          <t>Untertürkheim</t>
        </is>
      </c>
      <c r="E40" s="19" t="inlineStr">
        <is>
          <t>Crankcase</t>
        </is>
      </c>
      <c r="F40" s="19" t="inlineStr">
        <is>
          <t>Supplier A</t>
        </is>
      </c>
      <c r="G40" s="19" t="inlineStr">
        <is>
          <t>Surface Corrosion</t>
        </is>
      </c>
      <c r="H40" s="19" t="inlineStr">
        <is>
          <t>Critical</t>
        </is>
      </c>
      <c r="I40" s="19" t="inlineStr">
        <is>
          <t>Closed</t>
        </is>
      </c>
      <c r="J40" s="19" t="n">
        <v>20</v>
      </c>
    </row>
    <row r="41">
      <c r="A41" s="18" t="inlineStr">
        <is>
          <t>DEF-0039</t>
        </is>
      </c>
      <c r="B41" s="18" t="inlineStr">
        <is>
          <t>2024-02-04</t>
        </is>
      </c>
      <c r="C41" s="18" t="inlineStr">
        <is>
          <t>February 2024</t>
        </is>
      </c>
      <c r="D41" s="18" t="inlineStr">
        <is>
          <t>Munich</t>
        </is>
      </c>
      <c r="E41" s="18" t="inlineStr">
        <is>
          <t>eATS Motor</t>
        </is>
      </c>
      <c r="F41" s="18" t="inlineStr">
        <is>
          <t>Supplier E</t>
        </is>
      </c>
      <c r="G41" s="18" t="inlineStr">
        <is>
          <t>Torque Non-conformance</t>
        </is>
      </c>
      <c r="H41" s="18" t="inlineStr">
        <is>
          <t>Critical</t>
        </is>
      </c>
      <c r="I41" s="18" t="inlineStr">
        <is>
          <t>In Progress</t>
        </is>
      </c>
      <c r="J41" s="18" t="n">
        <v/>
      </c>
    </row>
    <row r="42">
      <c r="A42" s="19" t="inlineStr">
        <is>
          <t>DEF-0040</t>
        </is>
      </c>
      <c r="B42" s="19" t="inlineStr">
        <is>
          <t>2024-10-31</t>
        </is>
      </c>
      <c r="C42" s="19" t="inlineStr">
        <is>
          <t>October 2024</t>
        </is>
      </c>
      <c r="D42" s="19" t="inlineStr">
        <is>
          <t>Sindelfingen</t>
        </is>
      </c>
      <c r="E42" s="19" t="inlineStr">
        <is>
          <t>Crankshaft</t>
        </is>
      </c>
      <c r="F42" s="19" t="inlineStr">
        <is>
          <t>Supplier E</t>
        </is>
      </c>
      <c r="G42" s="19" t="inlineStr">
        <is>
          <t>Dimensional Deviation</t>
        </is>
      </c>
      <c r="H42" s="19" t="inlineStr">
        <is>
          <t>Minor</t>
        </is>
      </c>
      <c r="I42" s="19" t="inlineStr">
        <is>
          <t>In Progress</t>
        </is>
      </c>
      <c r="J42" s="19" t="n">
        <v/>
      </c>
    </row>
    <row r="43">
      <c r="A43" s="18" t="inlineStr">
        <is>
          <t>DEF-0041</t>
        </is>
      </c>
      <c r="B43" s="18" t="inlineStr">
        <is>
          <t>2024-06-10</t>
        </is>
      </c>
      <c r="C43" s="18" t="inlineStr">
        <is>
          <t>June 2024</t>
        </is>
      </c>
      <c r="D43" s="18" t="inlineStr">
        <is>
          <t>Stuttgart</t>
        </is>
      </c>
      <c r="E43" s="18" t="inlineStr">
        <is>
          <t>Transmission</t>
        </is>
      </c>
      <c r="F43" s="18" t="inlineStr">
        <is>
          <t>Supplier B</t>
        </is>
      </c>
      <c r="G43" s="18" t="inlineStr">
        <is>
          <t>Coating Failure</t>
        </is>
      </c>
      <c r="H43" s="18" t="inlineStr">
        <is>
          <t>Major</t>
        </is>
      </c>
      <c r="I43" s="18" t="inlineStr">
        <is>
          <t>Open</t>
        </is>
      </c>
      <c r="J43" s="18" t="n">
        <v/>
      </c>
    </row>
    <row r="44">
      <c r="A44" s="19" t="inlineStr">
        <is>
          <t>DEF-0042</t>
        </is>
      </c>
      <c r="B44" s="19" t="inlineStr">
        <is>
          <t>2024-03-08</t>
        </is>
      </c>
      <c r="C44" s="19" t="inlineStr">
        <is>
          <t>March 2024</t>
        </is>
      </c>
      <c r="D44" s="19" t="inlineStr">
        <is>
          <t>Stuttgart</t>
        </is>
      </c>
      <c r="E44" s="19" t="inlineStr">
        <is>
          <t>Transmission</t>
        </is>
      </c>
      <c r="F44" s="19" t="inlineStr">
        <is>
          <t>Supplier A</t>
        </is>
      </c>
      <c r="G44" s="19" t="inlineStr">
        <is>
          <t>Weld Defect</t>
        </is>
      </c>
      <c r="H44" s="19" t="inlineStr">
        <is>
          <t>Critical</t>
        </is>
      </c>
      <c r="I44" s="19" t="inlineStr">
        <is>
          <t>Open</t>
        </is>
      </c>
      <c r="J44" s="19" t="n">
        <v/>
      </c>
    </row>
    <row r="45">
      <c r="A45" s="18" t="inlineStr">
        <is>
          <t>DEF-0043</t>
        </is>
      </c>
      <c r="B45" s="18" t="inlineStr">
        <is>
          <t>2024-11-14</t>
        </is>
      </c>
      <c r="C45" s="18" t="inlineStr">
        <is>
          <t>November 2024</t>
        </is>
      </c>
      <c r="D45" s="18" t="inlineStr">
        <is>
          <t>Untertürkheim</t>
        </is>
      </c>
      <c r="E45" s="18" t="inlineStr">
        <is>
          <t>Cylinder Head</t>
        </is>
      </c>
      <c r="F45" s="18" t="inlineStr">
        <is>
          <t>Supplier B</t>
        </is>
      </c>
      <c r="G45" s="18" t="inlineStr">
        <is>
          <t>Dimensional Deviation</t>
        </is>
      </c>
      <c r="H45" s="18" t="inlineStr">
        <is>
          <t>Minor</t>
        </is>
      </c>
      <c r="I45" s="18" t="inlineStr">
        <is>
          <t>Closed</t>
        </is>
      </c>
      <c r="J45" s="18" t="n">
        <v>5</v>
      </c>
    </row>
    <row r="46">
      <c r="A46" s="19" t="inlineStr">
        <is>
          <t>DEF-0044</t>
        </is>
      </c>
      <c r="B46" s="19" t="inlineStr">
        <is>
          <t>2024-06-27</t>
        </is>
      </c>
      <c r="C46" s="19" t="inlineStr">
        <is>
          <t>June 2024</t>
        </is>
      </c>
      <c r="D46" s="19" t="inlineStr">
        <is>
          <t>Stuttgart</t>
        </is>
      </c>
      <c r="E46" s="19" t="inlineStr">
        <is>
          <t>Cylinder Head</t>
        </is>
      </c>
      <c r="F46" s="19" t="inlineStr">
        <is>
          <t>Supplier C</t>
        </is>
      </c>
      <c r="G46" s="19" t="inlineStr">
        <is>
          <t>Coating Failure</t>
        </is>
      </c>
      <c r="H46" s="19" t="inlineStr">
        <is>
          <t>Critical</t>
        </is>
      </c>
      <c r="I46" s="19" t="inlineStr">
        <is>
          <t>Open</t>
        </is>
      </c>
      <c r="J46" s="19" t="n">
        <v/>
      </c>
    </row>
    <row r="47">
      <c r="A47" s="18" t="inlineStr">
        <is>
          <t>DEF-0045</t>
        </is>
      </c>
      <c r="B47" s="18" t="inlineStr">
        <is>
          <t>2024-10-05</t>
        </is>
      </c>
      <c r="C47" s="18" t="inlineStr">
        <is>
          <t>October 2024</t>
        </is>
      </c>
      <c r="D47" s="18" t="inlineStr">
        <is>
          <t>Untertürkheim</t>
        </is>
      </c>
      <c r="E47" s="18" t="inlineStr">
        <is>
          <t>Transmission</t>
        </is>
      </c>
      <c r="F47" s="18" t="inlineStr">
        <is>
          <t>Supplier C</t>
        </is>
      </c>
      <c r="G47" s="18" t="inlineStr">
        <is>
          <t>Surface Corrosion</t>
        </is>
      </c>
      <c r="H47" s="18" t="inlineStr">
        <is>
          <t>Minor</t>
        </is>
      </c>
      <c r="I47" s="18" t="inlineStr">
        <is>
          <t>Closed</t>
        </is>
      </c>
      <c r="J47" s="18" t="n">
        <v>29</v>
      </c>
    </row>
    <row r="48">
      <c r="A48" s="19" t="inlineStr">
        <is>
          <t>DEF-0046</t>
        </is>
      </c>
      <c r="B48" s="19" t="inlineStr">
        <is>
          <t>2024-03-09</t>
        </is>
      </c>
      <c r="C48" s="19" t="inlineStr">
        <is>
          <t>March 2024</t>
        </is>
      </c>
      <c r="D48" s="19" t="inlineStr">
        <is>
          <t>Munich</t>
        </is>
      </c>
      <c r="E48" s="19" t="inlineStr">
        <is>
          <t>Transmission</t>
        </is>
      </c>
      <c r="F48" s="19" t="inlineStr">
        <is>
          <t>Supplier E</t>
        </is>
      </c>
      <c r="G48" s="19" t="inlineStr">
        <is>
          <t>Dimensional Deviation</t>
        </is>
      </c>
      <c r="H48" s="19" t="inlineStr">
        <is>
          <t>Critical</t>
        </is>
      </c>
      <c r="I48" s="19" t="inlineStr">
        <is>
          <t>Closed</t>
        </is>
      </c>
      <c r="J48" s="19" t="n">
        <v>10</v>
      </c>
    </row>
    <row r="49">
      <c r="A49" s="18" t="inlineStr">
        <is>
          <t>DEF-0047</t>
        </is>
      </c>
      <c r="B49" s="18" t="inlineStr">
        <is>
          <t>2024-11-05</t>
        </is>
      </c>
      <c r="C49" s="18" t="inlineStr">
        <is>
          <t>November 2024</t>
        </is>
      </c>
      <c r="D49" s="18" t="inlineStr">
        <is>
          <t>Ingolstadt</t>
        </is>
      </c>
      <c r="E49" s="18" t="inlineStr">
        <is>
          <t>eATS Motor</t>
        </is>
      </c>
      <c r="F49" s="18" t="inlineStr">
        <is>
          <t>Supplier C</t>
        </is>
      </c>
      <c r="G49" s="18" t="inlineStr">
        <is>
          <t>Missing Component</t>
        </is>
      </c>
      <c r="H49" s="18" t="inlineStr">
        <is>
          <t>Minor</t>
        </is>
      </c>
      <c r="I49" s="18" t="inlineStr">
        <is>
          <t>Open</t>
        </is>
      </c>
      <c r="J49" s="18" t="n">
        <v/>
      </c>
    </row>
    <row r="50">
      <c r="A50" s="19" t="inlineStr">
        <is>
          <t>DEF-0048</t>
        </is>
      </c>
      <c r="B50" s="19" t="inlineStr">
        <is>
          <t>2024-05-08</t>
        </is>
      </c>
      <c r="C50" s="19" t="inlineStr">
        <is>
          <t>May 2024</t>
        </is>
      </c>
      <c r="D50" s="19" t="inlineStr">
        <is>
          <t>Sindelfingen</t>
        </is>
      </c>
      <c r="E50" s="19" t="inlineStr">
        <is>
          <t>Crankshaft</t>
        </is>
      </c>
      <c r="F50" s="19" t="inlineStr">
        <is>
          <t>Supplier C</t>
        </is>
      </c>
      <c r="G50" s="19" t="inlineStr">
        <is>
          <t>Dimensional Deviation</t>
        </is>
      </c>
      <c r="H50" s="19" t="inlineStr">
        <is>
          <t>Critical</t>
        </is>
      </c>
      <c r="I50" s="19" t="inlineStr">
        <is>
          <t>Closed</t>
        </is>
      </c>
      <c r="J50" s="19" t="n">
        <v>11</v>
      </c>
    </row>
    <row r="51">
      <c r="A51" s="18" t="inlineStr">
        <is>
          <t>DEF-0049</t>
        </is>
      </c>
      <c r="B51" s="18" t="inlineStr">
        <is>
          <t>2024-03-07</t>
        </is>
      </c>
      <c r="C51" s="18" t="inlineStr">
        <is>
          <t>March 2024</t>
        </is>
      </c>
      <c r="D51" s="18" t="inlineStr">
        <is>
          <t>Sindelfingen</t>
        </is>
      </c>
      <c r="E51" s="18" t="inlineStr">
        <is>
          <t>Transmission</t>
        </is>
      </c>
      <c r="F51" s="18" t="inlineStr">
        <is>
          <t>Supplier E</t>
        </is>
      </c>
      <c r="G51" s="18" t="inlineStr">
        <is>
          <t>Assembly Error</t>
        </is>
      </c>
      <c r="H51" s="18" t="inlineStr">
        <is>
          <t>Minor</t>
        </is>
      </c>
      <c r="I51" s="18" t="inlineStr">
        <is>
          <t>Open</t>
        </is>
      </c>
      <c r="J51" s="18" t="n">
        <v/>
      </c>
    </row>
    <row r="52">
      <c r="A52" s="19" t="inlineStr">
        <is>
          <t>DEF-0050</t>
        </is>
      </c>
      <c r="B52" s="19" t="inlineStr">
        <is>
          <t>2024-10-14</t>
        </is>
      </c>
      <c r="C52" s="19" t="inlineStr">
        <is>
          <t>October 2024</t>
        </is>
      </c>
      <c r="D52" s="19" t="inlineStr">
        <is>
          <t>Munich</t>
        </is>
      </c>
      <c r="E52" s="19" t="inlineStr">
        <is>
          <t>Crankshaft</t>
        </is>
      </c>
      <c r="F52" s="19" t="inlineStr">
        <is>
          <t>Supplier B</t>
        </is>
      </c>
      <c r="G52" s="19" t="inlineStr">
        <is>
          <t>Dimensional Deviation</t>
        </is>
      </c>
      <c r="H52" s="19" t="inlineStr">
        <is>
          <t>Minor</t>
        </is>
      </c>
      <c r="I52" s="19" t="inlineStr">
        <is>
          <t>Closed</t>
        </is>
      </c>
      <c r="J52" s="19" t="n">
        <v>27</v>
      </c>
    </row>
    <row r="53">
      <c r="A53" s="18" t="inlineStr">
        <is>
          <t>DEF-0051</t>
        </is>
      </c>
      <c r="B53" s="18" t="inlineStr">
        <is>
          <t>2024-07-08</t>
        </is>
      </c>
      <c r="C53" s="18" t="inlineStr">
        <is>
          <t>July 2024</t>
        </is>
      </c>
      <c r="D53" s="18" t="inlineStr">
        <is>
          <t>Ingolstadt</t>
        </is>
      </c>
      <c r="E53" s="18" t="inlineStr">
        <is>
          <t>Crankcase</t>
        </is>
      </c>
      <c r="F53" s="18" t="inlineStr">
        <is>
          <t>Supplier A</t>
        </is>
      </c>
      <c r="G53" s="18" t="inlineStr">
        <is>
          <t>Torque Non-conformance</t>
        </is>
      </c>
      <c r="H53" s="18" t="inlineStr">
        <is>
          <t>Major</t>
        </is>
      </c>
      <c r="I53" s="18" t="inlineStr">
        <is>
          <t>Closed</t>
        </is>
      </c>
      <c r="J53" s="18" t="n">
        <v>29</v>
      </c>
    </row>
    <row r="54">
      <c r="A54" s="19" t="inlineStr">
        <is>
          <t>DEF-0052</t>
        </is>
      </c>
      <c r="B54" s="19" t="inlineStr">
        <is>
          <t>2024-01-21</t>
        </is>
      </c>
      <c r="C54" s="19" t="inlineStr">
        <is>
          <t>January 2024</t>
        </is>
      </c>
      <c r="D54" s="19" t="inlineStr">
        <is>
          <t>Ingolstadt</t>
        </is>
      </c>
      <c r="E54" s="19" t="inlineStr">
        <is>
          <t>Bushing</t>
        </is>
      </c>
      <c r="F54" s="19" t="inlineStr">
        <is>
          <t>Supplier A</t>
        </is>
      </c>
      <c r="G54" s="19" t="inlineStr">
        <is>
          <t>Coating Failure</t>
        </is>
      </c>
      <c r="H54" s="19" t="inlineStr">
        <is>
          <t>Major</t>
        </is>
      </c>
      <c r="I54" s="19" t="inlineStr">
        <is>
          <t>In Progress</t>
        </is>
      </c>
      <c r="J54" s="19" t="n">
        <v/>
      </c>
    </row>
    <row r="55">
      <c r="A55" s="18" t="inlineStr">
        <is>
          <t>DEF-0053</t>
        </is>
      </c>
      <c r="B55" s="18" t="inlineStr">
        <is>
          <t>2024-07-27</t>
        </is>
      </c>
      <c r="C55" s="18" t="inlineStr">
        <is>
          <t>July 2024</t>
        </is>
      </c>
      <c r="D55" s="18" t="inlineStr">
        <is>
          <t>Ingolstadt</t>
        </is>
      </c>
      <c r="E55" s="18" t="inlineStr">
        <is>
          <t>Crankcase</t>
        </is>
      </c>
      <c r="F55" s="18" t="inlineStr">
        <is>
          <t>Supplier B</t>
        </is>
      </c>
      <c r="G55" s="18" t="inlineStr">
        <is>
          <t>Coating Failure</t>
        </is>
      </c>
      <c r="H55" s="18" t="inlineStr">
        <is>
          <t>Major</t>
        </is>
      </c>
      <c r="I55" s="18" t="inlineStr">
        <is>
          <t>Closed</t>
        </is>
      </c>
      <c r="J55" s="18" t="n">
        <v>6</v>
      </c>
    </row>
    <row r="56">
      <c r="A56" s="19" t="inlineStr">
        <is>
          <t>DEF-0054</t>
        </is>
      </c>
      <c r="B56" s="19" t="inlineStr">
        <is>
          <t>2024-06-19</t>
        </is>
      </c>
      <c r="C56" s="19" t="inlineStr">
        <is>
          <t>June 2024</t>
        </is>
      </c>
      <c r="D56" s="19" t="inlineStr">
        <is>
          <t>Stuttgart</t>
        </is>
      </c>
      <c r="E56" s="19" t="inlineStr">
        <is>
          <t>Instrument Transformer</t>
        </is>
      </c>
      <c r="F56" s="19" t="inlineStr">
        <is>
          <t>Supplier B</t>
        </is>
      </c>
      <c r="G56" s="19" t="inlineStr">
        <is>
          <t>Coating Failure</t>
        </is>
      </c>
      <c r="H56" s="19" t="inlineStr">
        <is>
          <t>Minor</t>
        </is>
      </c>
      <c r="I56" s="19" t="inlineStr">
        <is>
          <t>Closed</t>
        </is>
      </c>
      <c r="J56" s="19" t="n">
        <v>13</v>
      </c>
    </row>
    <row r="57">
      <c r="A57" s="18" t="inlineStr">
        <is>
          <t>DEF-0055</t>
        </is>
      </c>
      <c r="B57" s="18" t="inlineStr">
        <is>
          <t>2024-01-20</t>
        </is>
      </c>
      <c r="C57" s="18" t="inlineStr">
        <is>
          <t>January 2024</t>
        </is>
      </c>
      <c r="D57" s="18" t="inlineStr">
        <is>
          <t>Ingolstadt</t>
        </is>
      </c>
      <c r="E57" s="18" t="inlineStr">
        <is>
          <t>Coil Assembly</t>
        </is>
      </c>
      <c r="F57" s="18" t="inlineStr">
        <is>
          <t>Supplier D</t>
        </is>
      </c>
      <c r="G57" s="18" t="inlineStr">
        <is>
          <t>Coating Failure</t>
        </is>
      </c>
      <c r="H57" s="18" t="inlineStr">
        <is>
          <t>Major</t>
        </is>
      </c>
      <c r="I57" s="18" t="inlineStr">
        <is>
          <t>Closed</t>
        </is>
      </c>
      <c r="J57" s="18" t="n">
        <v>27</v>
      </c>
    </row>
    <row r="58">
      <c r="A58" s="19" t="inlineStr">
        <is>
          <t>DEF-0056</t>
        </is>
      </c>
      <c r="B58" s="19" t="inlineStr">
        <is>
          <t>2024-04-26</t>
        </is>
      </c>
      <c r="C58" s="19" t="inlineStr">
        <is>
          <t>April 2024</t>
        </is>
      </c>
      <c r="D58" s="19" t="inlineStr">
        <is>
          <t>Ingolstadt</t>
        </is>
      </c>
      <c r="E58" s="19" t="inlineStr">
        <is>
          <t>eATS Motor</t>
        </is>
      </c>
      <c r="F58" s="19" t="inlineStr">
        <is>
          <t>Supplier D</t>
        </is>
      </c>
      <c r="G58" s="19" t="inlineStr">
        <is>
          <t>Surface Corrosion</t>
        </is>
      </c>
      <c r="H58" s="19" t="inlineStr">
        <is>
          <t>Major</t>
        </is>
      </c>
      <c r="I58" s="19" t="inlineStr">
        <is>
          <t>Closed</t>
        </is>
      </c>
      <c r="J58" s="19" t="n">
        <v>28</v>
      </c>
    </row>
    <row r="59">
      <c r="A59" s="18" t="inlineStr">
        <is>
          <t>DEF-0057</t>
        </is>
      </c>
      <c r="B59" s="18" t="inlineStr">
        <is>
          <t>2024-02-05</t>
        </is>
      </c>
      <c r="C59" s="18" t="inlineStr">
        <is>
          <t>February 2024</t>
        </is>
      </c>
      <c r="D59" s="18" t="inlineStr">
        <is>
          <t>Untertürkheim</t>
        </is>
      </c>
      <c r="E59" s="18" t="inlineStr">
        <is>
          <t>Transmission</t>
        </is>
      </c>
      <c r="F59" s="18" t="inlineStr">
        <is>
          <t>Supplier D</t>
        </is>
      </c>
      <c r="G59" s="18" t="inlineStr">
        <is>
          <t>Missing Component</t>
        </is>
      </c>
      <c r="H59" s="18" t="inlineStr">
        <is>
          <t>Minor</t>
        </is>
      </c>
      <c r="I59" s="18" t="inlineStr">
        <is>
          <t>In Progress</t>
        </is>
      </c>
      <c r="J59" s="18" t="n">
        <v/>
      </c>
    </row>
    <row r="60">
      <c r="A60" s="19" t="inlineStr">
        <is>
          <t>DEF-0058</t>
        </is>
      </c>
      <c r="B60" s="19" t="inlineStr">
        <is>
          <t>2024-06-18</t>
        </is>
      </c>
      <c r="C60" s="19" t="inlineStr">
        <is>
          <t>June 2024</t>
        </is>
      </c>
      <c r="D60" s="19" t="inlineStr">
        <is>
          <t>Stuttgart</t>
        </is>
      </c>
      <c r="E60" s="19" t="inlineStr">
        <is>
          <t>Crankshaft</t>
        </is>
      </c>
      <c r="F60" s="19" t="inlineStr">
        <is>
          <t>Supplier B</t>
        </is>
      </c>
      <c r="G60" s="19" t="inlineStr">
        <is>
          <t>Dimensional Deviation</t>
        </is>
      </c>
      <c r="H60" s="19" t="inlineStr">
        <is>
          <t>Minor</t>
        </is>
      </c>
      <c r="I60" s="19" t="inlineStr">
        <is>
          <t>Closed</t>
        </is>
      </c>
      <c r="J60" s="19" t="n">
        <v>2</v>
      </c>
    </row>
    <row r="61">
      <c r="A61" s="18" t="inlineStr">
        <is>
          <t>DEF-0059</t>
        </is>
      </c>
      <c r="B61" s="18" t="inlineStr">
        <is>
          <t>2024-02-25</t>
        </is>
      </c>
      <c r="C61" s="18" t="inlineStr">
        <is>
          <t>February 2024</t>
        </is>
      </c>
      <c r="D61" s="18" t="inlineStr">
        <is>
          <t>Stuttgart</t>
        </is>
      </c>
      <c r="E61" s="18" t="inlineStr">
        <is>
          <t>Instrument Transformer</t>
        </is>
      </c>
      <c r="F61" s="18" t="inlineStr">
        <is>
          <t>Supplier D</t>
        </is>
      </c>
      <c r="G61" s="18" t="inlineStr">
        <is>
          <t>Missing Component</t>
        </is>
      </c>
      <c r="H61" s="18" t="inlineStr">
        <is>
          <t>Minor</t>
        </is>
      </c>
      <c r="I61" s="18" t="inlineStr">
        <is>
          <t>In Progress</t>
        </is>
      </c>
      <c r="J61" s="18" t="n">
        <v/>
      </c>
    </row>
    <row r="62">
      <c r="A62" s="19" t="inlineStr">
        <is>
          <t>DEF-0060</t>
        </is>
      </c>
      <c r="B62" s="19" t="inlineStr">
        <is>
          <t>2024-02-29</t>
        </is>
      </c>
      <c r="C62" s="19" t="inlineStr">
        <is>
          <t>February 2024</t>
        </is>
      </c>
      <c r="D62" s="19" t="inlineStr">
        <is>
          <t>Stuttgart</t>
        </is>
      </c>
      <c r="E62" s="19" t="inlineStr">
        <is>
          <t>Instrument Transformer</t>
        </is>
      </c>
      <c r="F62" s="19" t="inlineStr">
        <is>
          <t>Supplier A</t>
        </is>
      </c>
      <c r="G62" s="19" t="inlineStr">
        <is>
          <t>Coating Failure</t>
        </is>
      </c>
      <c r="H62" s="19" t="inlineStr">
        <is>
          <t>Minor</t>
        </is>
      </c>
      <c r="I62" s="19" t="inlineStr">
        <is>
          <t>Open</t>
        </is>
      </c>
      <c r="J62" s="19" t="n">
        <v/>
      </c>
    </row>
    <row r="63">
      <c r="A63" s="18" t="inlineStr">
        <is>
          <t>DEF-0061</t>
        </is>
      </c>
      <c r="B63" s="18" t="inlineStr">
        <is>
          <t>2024-01-01</t>
        </is>
      </c>
      <c r="C63" s="18" t="inlineStr">
        <is>
          <t>January 2024</t>
        </is>
      </c>
      <c r="D63" s="18" t="inlineStr">
        <is>
          <t>Sindelfingen</t>
        </is>
      </c>
      <c r="E63" s="18" t="inlineStr">
        <is>
          <t>eATS Motor</t>
        </is>
      </c>
      <c r="F63" s="18" t="inlineStr">
        <is>
          <t>Supplier A</t>
        </is>
      </c>
      <c r="G63" s="18" t="inlineStr">
        <is>
          <t>Missing Component</t>
        </is>
      </c>
      <c r="H63" s="18" t="inlineStr">
        <is>
          <t>Minor</t>
        </is>
      </c>
      <c r="I63" s="18" t="inlineStr">
        <is>
          <t>Closed</t>
        </is>
      </c>
      <c r="J63" s="18" t="n">
        <v>20</v>
      </c>
    </row>
    <row r="64">
      <c r="A64" s="19" t="inlineStr">
        <is>
          <t>DEF-0062</t>
        </is>
      </c>
      <c r="B64" s="19" t="inlineStr">
        <is>
          <t>2024-06-09</t>
        </is>
      </c>
      <c r="C64" s="19" t="inlineStr">
        <is>
          <t>June 2024</t>
        </is>
      </c>
      <c r="D64" s="19" t="inlineStr">
        <is>
          <t>Untertürkheim</t>
        </is>
      </c>
      <c r="E64" s="19" t="inlineStr">
        <is>
          <t>Cylinder Head</t>
        </is>
      </c>
      <c r="F64" s="19" t="inlineStr">
        <is>
          <t>Supplier C</t>
        </is>
      </c>
      <c r="G64" s="19" t="inlineStr">
        <is>
          <t>Contamination</t>
        </is>
      </c>
      <c r="H64" s="19" t="inlineStr">
        <is>
          <t>Minor</t>
        </is>
      </c>
      <c r="I64" s="19" t="inlineStr">
        <is>
          <t>Open</t>
        </is>
      </c>
      <c r="J64" s="19" t="n">
        <v/>
      </c>
    </row>
    <row r="65">
      <c r="A65" s="18" t="inlineStr">
        <is>
          <t>DEF-0063</t>
        </is>
      </c>
      <c r="B65" s="18" t="inlineStr">
        <is>
          <t>2024-06-16</t>
        </is>
      </c>
      <c r="C65" s="18" t="inlineStr">
        <is>
          <t>June 2024</t>
        </is>
      </c>
      <c r="D65" s="18" t="inlineStr">
        <is>
          <t>Untertürkheim</t>
        </is>
      </c>
      <c r="E65" s="18" t="inlineStr">
        <is>
          <t>Instrument Transformer</t>
        </is>
      </c>
      <c r="F65" s="18" t="inlineStr">
        <is>
          <t>Supplier B</t>
        </is>
      </c>
      <c r="G65" s="18" t="inlineStr">
        <is>
          <t>Contamination</t>
        </is>
      </c>
      <c r="H65" s="18" t="inlineStr">
        <is>
          <t>Critical</t>
        </is>
      </c>
      <c r="I65" s="18" t="inlineStr">
        <is>
          <t>Open</t>
        </is>
      </c>
      <c r="J65" s="18" t="n">
        <v/>
      </c>
    </row>
    <row r="66">
      <c r="A66" s="19" t="inlineStr">
        <is>
          <t>DEF-0064</t>
        </is>
      </c>
      <c r="B66" s="19" t="inlineStr">
        <is>
          <t>2024-12-06</t>
        </is>
      </c>
      <c r="C66" s="19" t="inlineStr">
        <is>
          <t>December 2024</t>
        </is>
      </c>
      <c r="D66" s="19" t="inlineStr">
        <is>
          <t>Untertürkheim</t>
        </is>
      </c>
      <c r="E66" s="19" t="inlineStr">
        <is>
          <t>Instrument Transformer</t>
        </is>
      </c>
      <c r="F66" s="19" t="inlineStr">
        <is>
          <t>Supplier E</t>
        </is>
      </c>
      <c r="G66" s="19" t="inlineStr">
        <is>
          <t>Assembly Error</t>
        </is>
      </c>
      <c r="H66" s="19" t="inlineStr">
        <is>
          <t>Major</t>
        </is>
      </c>
      <c r="I66" s="19" t="inlineStr">
        <is>
          <t>Open</t>
        </is>
      </c>
      <c r="J66" s="19" t="n">
        <v/>
      </c>
    </row>
    <row r="67">
      <c r="A67" s="18" t="inlineStr">
        <is>
          <t>DEF-0065</t>
        </is>
      </c>
      <c r="B67" s="18" t="inlineStr">
        <is>
          <t>2024-10-07</t>
        </is>
      </c>
      <c r="C67" s="18" t="inlineStr">
        <is>
          <t>October 2024</t>
        </is>
      </c>
      <c r="D67" s="18" t="inlineStr">
        <is>
          <t>Stuttgart</t>
        </is>
      </c>
      <c r="E67" s="18" t="inlineStr">
        <is>
          <t>Crankshaft</t>
        </is>
      </c>
      <c r="F67" s="18" t="inlineStr">
        <is>
          <t>Supplier B</t>
        </is>
      </c>
      <c r="G67" s="18" t="inlineStr">
        <is>
          <t>Contamination</t>
        </is>
      </c>
      <c r="H67" s="18" t="inlineStr">
        <is>
          <t>Major</t>
        </is>
      </c>
      <c r="I67" s="18" t="inlineStr">
        <is>
          <t>In Progress</t>
        </is>
      </c>
      <c r="J67" s="18" t="n">
        <v/>
      </c>
    </row>
    <row r="68">
      <c r="A68" s="19" t="inlineStr">
        <is>
          <t>DEF-0066</t>
        </is>
      </c>
      <c r="B68" s="19" t="inlineStr">
        <is>
          <t>2024-11-06</t>
        </is>
      </c>
      <c r="C68" s="19" t="inlineStr">
        <is>
          <t>November 2024</t>
        </is>
      </c>
      <c r="D68" s="19" t="inlineStr">
        <is>
          <t>Sindelfingen</t>
        </is>
      </c>
      <c r="E68" s="19" t="inlineStr">
        <is>
          <t>Bushing</t>
        </is>
      </c>
      <c r="F68" s="19" t="inlineStr">
        <is>
          <t>Supplier D</t>
        </is>
      </c>
      <c r="G68" s="19" t="inlineStr">
        <is>
          <t>Weld Defect</t>
        </is>
      </c>
      <c r="H68" s="19" t="inlineStr">
        <is>
          <t>Minor</t>
        </is>
      </c>
      <c r="I68" s="19" t="inlineStr">
        <is>
          <t>Closed</t>
        </is>
      </c>
      <c r="J68" s="19" t="n">
        <v>17</v>
      </c>
    </row>
    <row r="69">
      <c r="A69" s="18" t="inlineStr">
        <is>
          <t>DEF-0067</t>
        </is>
      </c>
      <c r="B69" s="18" t="inlineStr">
        <is>
          <t>2024-08-30</t>
        </is>
      </c>
      <c r="C69" s="18" t="inlineStr">
        <is>
          <t>August 2024</t>
        </is>
      </c>
      <c r="D69" s="18" t="inlineStr">
        <is>
          <t>Stuttgart</t>
        </is>
      </c>
      <c r="E69" s="18" t="inlineStr">
        <is>
          <t>Crankcase</t>
        </is>
      </c>
      <c r="F69" s="18" t="inlineStr">
        <is>
          <t>Supplier E</t>
        </is>
      </c>
      <c r="G69" s="18" t="inlineStr">
        <is>
          <t>Dimensional Deviation</t>
        </is>
      </c>
      <c r="H69" s="18" t="inlineStr">
        <is>
          <t>Minor</t>
        </is>
      </c>
      <c r="I69" s="18" t="inlineStr">
        <is>
          <t>In Progress</t>
        </is>
      </c>
      <c r="J69" s="18" t="n">
        <v/>
      </c>
    </row>
    <row r="70">
      <c r="A70" s="19" t="inlineStr">
        <is>
          <t>DEF-0068</t>
        </is>
      </c>
      <c r="B70" s="19" t="inlineStr">
        <is>
          <t>2024-06-20</t>
        </is>
      </c>
      <c r="C70" s="19" t="inlineStr">
        <is>
          <t>June 2024</t>
        </is>
      </c>
      <c r="D70" s="19" t="inlineStr">
        <is>
          <t>Stuttgart</t>
        </is>
      </c>
      <c r="E70" s="19" t="inlineStr">
        <is>
          <t>Cylinder Head</t>
        </is>
      </c>
      <c r="F70" s="19" t="inlineStr">
        <is>
          <t>Supplier B</t>
        </is>
      </c>
      <c r="G70" s="19" t="inlineStr">
        <is>
          <t>Coating Failure</t>
        </is>
      </c>
      <c r="H70" s="19" t="inlineStr">
        <is>
          <t>Critical</t>
        </is>
      </c>
      <c r="I70" s="19" t="inlineStr">
        <is>
          <t>Closed</t>
        </is>
      </c>
      <c r="J70" s="19" t="n">
        <v>1</v>
      </c>
    </row>
    <row r="71">
      <c r="A71" s="18" t="inlineStr">
        <is>
          <t>DEF-0069</t>
        </is>
      </c>
      <c r="B71" s="18" t="inlineStr">
        <is>
          <t>2024-01-24</t>
        </is>
      </c>
      <c r="C71" s="18" t="inlineStr">
        <is>
          <t>January 2024</t>
        </is>
      </c>
      <c r="D71" s="18" t="inlineStr">
        <is>
          <t>Untertürkheim</t>
        </is>
      </c>
      <c r="E71" s="18" t="inlineStr">
        <is>
          <t>eATS Motor</t>
        </is>
      </c>
      <c r="F71" s="18" t="inlineStr">
        <is>
          <t>Supplier A</t>
        </is>
      </c>
      <c r="G71" s="18" t="inlineStr">
        <is>
          <t>Weld Defect</t>
        </is>
      </c>
      <c r="H71" s="18" t="inlineStr">
        <is>
          <t>Major</t>
        </is>
      </c>
      <c r="I71" s="18" t="inlineStr">
        <is>
          <t>Open</t>
        </is>
      </c>
      <c r="J71" s="18" t="n">
        <v/>
      </c>
    </row>
    <row r="72">
      <c r="A72" s="19" t="inlineStr">
        <is>
          <t>DEF-0070</t>
        </is>
      </c>
      <c r="B72" s="19" t="inlineStr">
        <is>
          <t>2024-11-18</t>
        </is>
      </c>
      <c r="C72" s="19" t="inlineStr">
        <is>
          <t>November 2024</t>
        </is>
      </c>
      <c r="D72" s="19" t="inlineStr">
        <is>
          <t>Sindelfingen</t>
        </is>
      </c>
      <c r="E72" s="19" t="inlineStr">
        <is>
          <t>eATS Motor</t>
        </is>
      </c>
      <c r="F72" s="19" t="inlineStr">
        <is>
          <t>Supplier D</t>
        </is>
      </c>
      <c r="G72" s="19" t="inlineStr">
        <is>
          <t>Torque Non-conformance</t>
        </is>
      </c>
      <c r="H72" s="19" t="inlineStr">
        <is>
          <t>Critical</t>
        </is>
      </c>
      <c r="I72" s="19" t="inlineStr">
        <is>
          <t>Closed</t>
        </is>
      </c>
      <c r="J72" s="19" t="n">
        <v>21</v>
      </c>
    </row>
    <row r="73">
      <c r="A73" s="18" t="inlineStr">
        <is>
          <t>DEF-0071</t>
        </is>
      </c>
      <c r="B73" s="18" t="inlineStr">
        <is>
          <t>2024-12-18</t>
        </is>
      </c>
      <c r="C73" s="18" t="inlineStr">
        <is>
          <t>December 2024</t>
        </is>
      </c>
      <c r="D73" s="18" t="inlineStr">
        <is>
          <t>Sindelfingen</t>
        </is>
      </c>
      <c r="E73" s="18" t="inlineStr">
        <is>
          <t>Crankshaft</t>
        </is>
      </c>
      <c r="F73" s="18" t="inlineStr">
        <is>
          <t>Supplier B</t>
        </is>
      </c>
      <c r="G73" s="18" t="inlineStr">
        <is>
          <t>Dimensional Deviation</t>
        </is>
      </c>
      <c r="H73" s="18" t="inlineStr">
        <is>
          <t>Critical</t>
        </is>
      </c>
      <c r="I73" s="18" t="inlineStr">
        <is>
          <t>In Progress</t>
        </is>
      </c>
      <c r="J73" s="18" t="n">
        <v/>
      </c>
    </row>
    <row r="74">
      <c r="A74" s="19" t="inlineStr">
        <is>
          <t>DEF-0072</t>
        </is>
      </c>
      <c r="B74" s="19" t="inlineStr">
        <is>
          <t>2024-08-25</t>
        </is>
      </c>
      <c r="C74" s="19" t="inlineStr">
        <is>
          <t>August 2024</t>
        </is>
      </c>
      <c r="D74" s="19" t="inlineStr">
        <is>
          <t>Munich</t>
        </is>
      </c>
      <c r="E74" s="19" t="inlineStr">
        <is>
          <t>Crankshaft</t>
        </is>
      </c>
      <c r="F74" s="19" t="inlineStr">
        <is>
          <t>Supplier D</t>
        </is>
      </c>
      <c r="G74" s="19" t="inlineStr">
        <is>
          <t>Coating Failure</t>
        </is>
      </c>
      <c r="H74" s="19" t="inlineStr">
        <is>
          <t>Critical</t>
        </is>
      </c>
      <c r="I74" s="19" t="inlineStr">
        <is>
          <t>Open</t>
        </is>
      </c>
      <c r="J74" s="19" t="n">
        <v/>
      </c>
    </row>
    <row r="75">
      <c r="A75" s="18" t="inlineStr">
        <is>
          <t>DEF-0073</t>
        </is>
      </c>
      <c r="B75" s="18" t="inlineStr">
        <is>
          <t>2024-12-07</t>
        </is>
      </c>
      <c r="C75" s="18" t="inlineStr">
        <is>
          <t>December 2024</t>
        </is>
      </c>
      <c r="D75" s="18" t="inlineStr">
        <is>
          <t>Untertürkheim</t>
        </is>
      </c>
      <c r="E75" s="18" t="inlineStr">
        <is>
          <t>Bushing</t>
        </is>
      </c>
      <c r="F75" s="18" t="inlineStr">
        <is>
          <t>Supplier E</t>
        </is>
      </c>
      <c r="G75" s="18" t="inlineStr">
        <is>
          <t>Weld Defect</t>
        </is>
      </c>
      <c r="H75" s="18" t="inlineStr">
        <is>
          <t>Major</t>
        </is>
      </c>
      <c r="I75" s="18" t="inlineStr">
        <is>
          <t>In Progress</t>
        </is>
      </c>
      <c r="J75" s="18" t="n">
        <v/>
      </c>
    </row>
    <row r="76">
      <c r="A76" s="19" t="inlineStr">
        <is>
          <t>DEF-0074</t>
        </is>
      </c>
      <c r="B76" s="19" t="inlineStr">
        <is>
          <t>2024-08-16</t>
        </is>
      </c>
      <c r="C76" s="19" t="inlineStr">
        <is>
          <t>August 2024</t>
        </is>
      </c>
      <c r="D76" s="19" t="inlineStr">
        <is>
          <t>Sindelfingen</t>
        </is>
      </c>
      <c r="E76" s="19" t="inlineStr">
        <is>
          <t>Crankcase</t>
        </is>
      </c>
      <c r="F76" s="19" t="inlineStr">
        <is>
          <t>Supplier C</t>
        </is>
      </c>
      <c r="G76" s="19" t="inlineStr">
        <is>
          <t>Weld Defect</t>
        </is>
      </c>
      <c r="H76" s="19" t="inlineStr">
        <is>
          <t>Critical</t>
        </is>
      </c>
      <c r="I76" s="19" t="inlineStr">
        <is>
          <t>Closed</t>
        </is>
      </c>
      <c r="J76" s="19" t="n">
        <v>25</v>
      </c>
    </row>
    <row r="77">
      <c r="A77" s="18" t="inlineStr">
        <is>
          <t>DEF-0075</t>
        </is>
      </c>
      <c r="B77" s="18" t="inlineStr">
        <is>
          <t>2024-09-23</t>
        </is>
      </c>
      <c r="C77" s="18" t="inlineStr">
        <is>
          <t>September 2024</t>
        </is>
      </c>
      <c r="D77" s="18" t="inlineStr">
        <is>
          <t>Stuttgart</t>
        </is>
      </c>
      <c r="E77" s="18" t="inlineStr">
        <is>
          <t>Coil Assembly</t>
        </is>
      </c>
      <c r="F77" s="18" t="inlineStr">
        <is>
          <t>Supplier D</t>
        </is>
      </c>
      <c r="G77" s="18" t="inlineStr">
        <is>
          <t>Coating Failure</t>
        </is>
      </c>
      <c r="H77" s="18" t="inlineStr">
        <is>
          <t>Critical</t>
        </is>
      </c>
      <c r="I77" s="18" t="inlineStr">
        <is>
          <t>Closed</t>
        </is>
      </c>
      <c r="J77" s="18" t="n">
        <v>8</v>
      </c>
    </row>
    <row r="78">
      <c r="A78" s="19" t="inlineStr">
        <is>
          <t>DEF-0076</t>
        </is>
      </c>
      <c r="B78" s="19" t="inlineStr">
        <is>
          <t>2024-05-19</t>
        </is>
      </c>
      <c r="C78" s="19" t="inlineStr">
        <is>
          <t>May 2024</t>
        </is>
      </c>
      <c r="D78" s="19" t="inlineStr">
        <is>
          <t>Untertürkheim</t>
        </is>
      </c>
      <c r="E78" s="19" t="inlineStr">
        <is>
          <t>Bushing</t>
        </is>
      </c>
      <c r="F78" s="19" t="inlineStr">
        <is>
          <t>Supplier A</t>
        </is>
      </c>
      <c r="G78" s="19" t="inlineStr">
        <is>
          <t>Missing Component</t>
        </is>
      </c>
      <c r="H78" s="19" t="inlineStr">
        <is>
          <t>Critical</t>
        </is>
      </c>
      <c r="I78" s="19" t="inlineStr">
        <is>
          <t>Closed</t>
        </is>
      </c>
      <c r="J78" s="19" t="n">
        <v>8</v>
      </c>
    </row>
    <row r="79">
      <c r="A79" s="18" t="inlineStr">
        <is>
          <t>DEF-0077</t>
        </is>
      </c>
      <c r="B79" s="18" t="inlineStr">
        <is>
          <t>2024-07-15</t>
        </is>
      </c>
      <c r="C79" s="18" t="inlineStr">
        <is>
          <t>July 2024</t>
        </is>
      </c>
      <c r="D79" s="18" t="inlineStr">
        <is>
          <t>Munich</t>
        </is>
      </c>
      <c r="E79" s="18" t="inlineStr">
        <is>
          <t>Crankcase</t>
        </is>
      </c>
      <c r="F79" s="18" t="inlineStr">
        <is>
          <t>Supplier D</t>
        </is>
      </c>
      <c r="G79" s="18" t="inlineStr">
        <is>
          <t>Coating Failure</t>
        </is>
      </c>
      <c r="H79" s="18" t="inlineStr">
        <is>
          <t>Major</t>
        </is>
      </c>
      <c r="I79" s="18" t="inlineStr">
        <is>
          <t>Closed</t>
        </is>
      </c>
      <c r="J79" s="18" t="n">
        <v>18</v>
      </c>
    </row>
    <row r="80">
      <c r="A80" s="19" t="inlineStr">
        <is>
          <t>DEF-0078</t>
        </is>
      </c>
      <c r="B80" s="19" t="inlineStr">
        <is>
          <t>2024-08-26</t>
        </is>
      </c>
      <c r="C80" s="19" t="inlineStr">
        <is>
          <t>August 2024</t>
        </is>
      </c>
      <c r="D80" s="19" t="inlineStr">
        <is>
          <t>Ingolstadt</t>
        </is>
      </c>
      <c r="E80" s="19" t="inlineStr">
        <is>
          <t>Instrument Transformer</t>
        </is>
      </c>
      <c r="F80" s="19" t="inlineStr">
        <is>
          <t>Supplier D</t>
        </is>
      </c>
      <c r="G80" s="19" t="inlineStr">
        <is>
          <t>Surface Corrosion</t>
        </is>
      </c>
      <c r="H80" s="19" t="inlineStr">
        <is>
          <t>Major</t>
        </is>
      </c>
      <c r="I80" s="19" t="inlineStr">
        <is>
          <t>In Progress</t>
        </is>
      </c>
      <c r="J80" s="19" t="n">
        <v/>
      </c>
    </row>
    <row r="81">
      <c r="A81" s="18" t="inlineStr">
        <is>
          <t>DEF-0079</t>
        </is>
      </c>
      <c r="B81" s="18" t="inlineStr">
        <is>
          <t>2024-12-22</t>
        </is>
      </c>
      <c r="C81" s="18" t="inlineStr">
        <is>
          <t>December 2024</t>
        </is>
      </c>
      <c r="D81" s="18" t="inlineStr">
        <is>
          <t>Sindelfingen</t>
        </is>
      </c>
      <c r="E81" s="18" t="inlineStr">
        <is>
          <t>Crankshaft</t>
        </is>
      </c>
      <c r="F81" s="18" t="inlineStr">
        <is>
          <t>Supplier A</t>
        </is>
      </c>
      <c r="G81" s="18" t="inlineStr">
        <is>
          <t>Torque Non-conformance</t>
        </is>
      </c>
      <c r="H81" s="18" t="inlineStr">
        <is>
          <t>Major</t>
        </is>
      </c>
      <c r="I81" s="18" t="inlineStr">
        <is>
          <t>Closed</t>
        </is>
      </c>
      <c r="J81" s="18" t="n">
        <v>25</v>
      </c>
    </row>
    <row r="82">
      <c r="A82" s="19" t="inlineStr">
        <is>
          <t>DEF-0080</t>
        </is>
      </c>
      <c r="B82" s="19" t="inlineStr">
        <is>
          <t>2024-07-18</t>
        </is>
      </c>
      <c r="C82" s="19" t="inlineStr">
        <is>
          <t>July 2024</t>
        </is>
      </c>
      <c r="D82" s="19" t="inlineStr">
        <is>
          <t>Sindelfingen</t>
        </is>
      </c>
      <c r="E82" s="19" t="inlineStr">
        <is>
          <t>Instrument Transformer</t>
        </is>
      </c>
      <c r="F82" s="19" t="inlineStr">
        <is>
          <t>Supplier B</t>
        </is>
      </c>
      <c r="G82" s="19" t="inlineStr">
        <is>
          <t>Coating Failure</t>
        </is>
      </c>
      <c r="H82" s="19" t="inlineStr">
        <is>
          <t>Major</t>
        </is>
      </c>
      <c r="I82" s="19" t="inlineStr">
        <is>
          <t>Open</t>
        </is>
      </c>
      <c r="J82" s="19" t="n">
        <v/>
      </c>
    </row>
    <row r="83">
      <c r="A83" s="18" t="inlineStr">
        <is>
          <t>DEF-0081</t>
        </is>
      </c>
      <c r="B83" s="18" t="inlineStr">
        <is>
          <t>2024-09-05</t>
        </is>
      </c>
      <c r="C83" s="18" t="inlineStr">
        <is>
          <t>September 2024</t>
        </is>
      </c>
      <c r="D83" s="18" t="inlineStr">
        <is>
          <t>Stuttgart</t>
        </is>
      </c>
      <c r="E83" s="18" t="inlineStr">
        <is>
          <t>Crankshaft</t>
        </is>
      </c>
      <c r="F83" s="18" t="inlineStr">
        <is>
          <t>Supplier D</t>
        </is>
      </c>
      <c r="G83" s="18" t="inlineStr">
        <is>
          <t>Torque Non-conformance</t>
        </is>
      </c>
      <c r="H83" s="18" t="inlineStr">
        <is>
          <t>Minor</t>
        </is>
      </c>
      <c r="I83" s="18" t="inlineStr">
        <is>
          <t>Closed</t>
        </is>
      </c>
      <c r="J83" s="18" t="n">
        <v>27</v>
      </c>
    </row>
    <row r="84">
      <c r="A84" s="19" t="inlineStr">
        <is>
          <t>DEF-0082</t>
        </is>
      </c>
      <c r="B84" s="19" t="inlineStr">
        <is>
          <t>2024-08-27</t>
        </is>
      </c>
      <c r="C84" s="19" t="inlineStr">
        <is>
          <t>August 2024</t>
        </is>
      </c>
      <c r="D84" s="19" t="inlineStr">
        <is>
          <t>Sindelfingen</t>
        </is>
      </c>
      <c r="E84" s="19" t="inlineStr">
        <is>
          <t>Crankcase</t>
        </is>
      </c>
      <c r="F84" s="19" t="inlineStr">
        <is>
          <t>Supplier E</t>
        </is>
      </c>
      <c r="G84" s="19" t="inlineStr">
        <is>
          <t>Surface Corrosion</t>
        </is>
      </c>
      <c r="H84" s="19" t="inlineStr">
        <is>
          <t>Minor</t>
        </is>
      </c>
      <c r="I84" s="19" t="inlineStr">
        <is>
          <t>Closed</t>
        </is>
      </c>
      <c r="J84" s="19" t="n">
        <v>3</v>
      </c>
    </row>
    <row r="85">
      <c r="A85" s="18" t="inlineStr">
        <is>
          <t>DEF-0083</t>
        </is>
      </c>
      <c r="B85" s="18" t="inlineStr">
        <is>
          <t>2024-11-25</t>
        </is>
      </c>
      <c r="C85" s="18" t="inlineStr">
        <is>
          <t>November 2024</t>
        </is>
      </c>
      <c r="D85" s="18" t="inlineStr">
        <is>
          <t>Sindelfingen</t>
        </is>
      </c>
      <c r="E85" s="18" t="inlineStr">
        <is>
          <t>Instrument Transformer</t>
        </is>
      </c>
      <c r="F85" s="18" t="inlineStr">
        <is>
          <t>Supplier B</t>
        </is>
      </c>
      <c r="G85" s="18" t="inlineStr">
        <is>
          <t>Assembly Error</t>
        </is>
      </c>
      <c r="H85" s="18" t="inlineStr">
        <is>
          <t>Critical</t>
        </is>
      </c>
      <c r="I85" s="18" t="inlineStr">
        <is>
          <t>Closed</t>
        </is>
      </c>
      <c r="J85" s="18" t="n">
        <v>13</v>
      </c>
    </row>
    <row r="86">
      <c r="A86" s="19" t="inlineStr">
        <is>
          <t>DEF-0084</t>
        </is>
      </c>
      <c r="B86" s="19" t="inlineStr">
        <is>
          <t>2024-06-16</t>
        </is>
      </c>
      <c r="C86" s="19" t="inlineStr">
        <is>
          <t>June 2024</t>
        </is>
      </c>
      <c r="D86" s="19" t="inlineStr">
        <is>
          <t>Stuttgart</t>
        </is>
      </c>
      <c r="E86" s="19" t="inlineStr">
        <is>
          <t>eATS Motor</t>
        </is>
      </c>
      <c r="F86" s="19" t="inlineStr">
        <is>
          <t>Supplier C</t>
        </is>
      </c>
      <c r="G86" s="19" t="inlineStr">
        <is>
          <t>Weld Defect</t>
        </is>
      </c>
      <c r="H86" s="19" t="inlineStr">
        <is>
          <t>Major</t>
        </is>
      </c>
      <c r="I86" s="19" t="inlineStr">
        <is>
          <t>Closed</t>
        </is>
      </c>
      <c r="J86" s="19" t="n">
        <v>25</v>
      </c>
    </row>
    <row r="87">
      <c r="A87" s="18" t="inlineStr">
        <is>
          <t>DEF-0085</t>
        </is>
      </c>
      <c r="B87" s="18" t="inlineStr">
        <is>
          <t>2024-08-03</t>
        </is>
      </c>
      <c r="C87" s="18" t="inlineStr">
        <is>
          <t>August 2024</t>
        </is>
      </c>
      <c r="D87" s="18" t="inlineStr">
        <is>
          <t>Sindelfingen</t>
        </is>
      </c>
      <c r="E87" s="18" t="inlineStr">
        <is>
          <t>Transmission</t>
        </is>
      </c>
      <c r="F87" s="18" t="inlineStr">
        <is>
          <t>Supplier A</t>
        </is>
      </c>
      <c r="G87" s="18" t="inlineStr">
        <is>
          <t>Dimensional Deviation</t>
        </is>
      </c>
      <c r="H87" s="18" t="inlineStr">
        <is>
          <t>Minor</t>
        </is>
      </c>
      <c r="I87" s="18" t="inlineStr">
        <is>
          <t>In Progress</t>
        </is>
      </c>
      <c r="J87" s="18" t="n">
        <v/>
      </c>
    </row>
    <row r="88">
      <c r="A88" s="19" t="inlineStr">
        <is>
          <t>DEF-0086</t>
        </is>
      </c>
      <c r="B88" s="19" t="inlineStr">
        <is>
          <t>2024-01-27</t>
        </is>
      </c>
      <c r="C88" s="19" t="inlineStr">
        <is>
          <t>January 2024</t>
        </is>
      </c>
      <c r="D88" s="19" t="inlineStr">
        <is>
          <t>Munich</t>
        </is>
      </c>
      <c r="E88" s="19" t="inlineStr">
        <is>
          <t>Bushing</t>
        </is>
      </c>
      <c r="F88" s="19" t="inlineStr">
        <is>
          <t>Supplier A</t>
        </is>
      </c>
      <c r="G88" s="19" t="inlineStr">
        <is>
          <t>Coating Failure</t>
        </is>
      </c>
      <c r="H88" s="19" t="inlineStr">
        <is>
          <t>Critical</t>
        </is>
      </c>
      <c r="I88" s="19" t="inlineStr">
        <is>
          <t>Closed</t>
        </is>
      </c>
      <c r="J88" s="19" t="n">
        <v>7</v>
      </c>
    </row>
    <row r="89">
      <c r="A89" s="18" t="inlineStr">
        <is>
          <t>DEF-0087</t>
        </is>
      </c>
      <c r="B89" s="18" t="inlineStr">
        <is>
          <t>2024-01-11</t>
        </is>
      </c>
      <c r="C89" s="18" t="inlineStr">
        <is>
          <t>January 2024</t>
        </is>
      </c>
      <c r="D89" s="18" t="inlineStr">
        <is>
          <t>Ingolstadt</t>
        </is>
      </c>
      <c r="E89" s="18" t="inlineStr">
        <is>
          <t>Crankcase</t>
        </is>
      </c>
      <c r="F89" s="18" t="inlineStr">
        <is>
          <t>Supplier D</t>
        </is>
      </c>
      <c r="G89" s="18" t="inlineStr">
        <is>
          <t>Coating Failure</t>
        </is>
      </c>
      <c r="H89" s="18" t="inlineStr">
        <is>
          <t>Minor</t>
        </is>
      </c>
      <c r="I89" s="18" t="inlineStr">
        <is>
          <t>Closed</t>
        </is>
      </c>
      <c r="J89" s="18" t="n">
        <v>19</v>
      </c>
    </row>
    <row r="90">
      <c r="A90" s="19" t="inlineStr">
        <is>
          <t>DEF-0088</t>
        </is>
      </c>
      <c r="B90" s="19" t="inlineStr">
        <is>
          <t>2024-04-21</t>
        </is>
      </c>
      <c r="C90" s="19" t="inlineStr">
        <is>
          <t>April 2024</t>
        </is>
      </c>
      <c r="D90" s="19" t="inlineStr">
        <is>
          <t>Stuttgart</t>
        </is>
      </c>
      <c r="E90" s="19" t="inlineStr">
        <is>
          <t>Coil Assembly</t>
        </is>
      </c>
      <c r="F90" s="19" t="inlineStr">
        <is>
          <t>Supplier B</t>
        </is>
      </c>
      <c r="G90" s="19" t="inlineStr">
        <is>
          <t>Contamination</t>
        </is>
      </c>
      <c r="H90" s="19" t="inlineStr">
        <is>
          <t>Minor</t>
        </is>
      </c>
      <c r="I90" s="19" t="inlineStr">
        <is>
          <t>In Progress</t>
        </is>
      </c>
      <c r="J90" s="19" t="n">
        <v/>
      </c>
    </row>
    <row r="91">
      <c r="A91" s="18" t="inlineStr">
        <is>
          <t>DEF-0089</t>
        </is>
      </c>
      <c r="B91" s="18" t="inlineStr">
        <is>
          <t>2024-02-28</t>
        </is>
      </c>
      <c r="C91" s="18" t="inlineStr">
        <is>
          <t>February 2024</t>
        </is>
      </c>
      <c r="D91" s="18" t="inlineStr">
        <is>
          <t>Munich</t>
        </is>
      </c>
      <c r="E91" s="18" t="inlineStr">
        <is>
          <t>Crankcase</t>
        </is>
      </c>
      <c r="F91" s="18" t="inlineStr">
        <is>
          <t>Supplier E</t>
        </is>
      </c>
      <c r="G91" s="18" t="inlineStr">
        <is>
          <t>Contamination</t>
        </is>
      </c>
      <c r="H91" s="18" t="inlineStr">
        <is>
          <t>Critical</t>
        </is>
      </c>
      <c r="I91" s="18" t="inlineStr">
        <is>
          <t>Closed</t>
        </is>
      </c>
      <c r="J91" s="18" t="n">
        <v>19</v>
      </c>
    </row>
    <row r="92">
      <c r="A92" s="19" t="inlineStr">
        <is>
          <t>DEF-0090</t>
        </is>
      </c>
      <c r="B92" s="19" t="inlineStr">
        <is>
          <t>2024-12-12</t>
        </is>
      </c>
      <c r="C92" s="19" t="inlineStr">
        <is>
          <t>December 2024</t>
        </is>
      </c>
      <c r="D92" s="19" t="inlineStr">
        <is>
          <t>Ingolstadt</t>
        </is>
      </c>
      <c r="E92" s="19" t="inlineStr">
        <is>
          <t>Instrument Transformer</t>
        </is>
      </c>
      <c r="F92" s="19" t="inlineStr">
        <is>
          <t>Supplier A</t>
        </is>
      </c>
      <c r="G92" s="19" t="inlineStr">
        <is>
          <t>Torque Non-conformance</t>
        </is>
      </c>
      <c r="H92" s="19" t="inlineStr">
        <is>
          <t>Minor</t>
        </is>
      </c>
      <c r="I92" s="19" t="inlineStr">
        <is>
          <t>Closed</t>
        </is>
      </c>
      <c r="J92" s="19" t="n">
        <v>4</v>
      </c>
    </row>
    <row r="93">
      <c r="A93" s="18" t="inlineStr">
        <is>
          <t>DEF-0091</t>
        </is>
      </c>
      <c r="B93" s="18" t="inlineStr">
        <is>
          <t>2024-12-22</t>
        </is>
      </c>
      <c r="C93" s="18" t="inlineStr">
        <is>
          <t>December 2024</t>
        </is>
      </c>
      <c r="D93" s="18" t="inlineStr">
        <is>
          <t>Untertürkheim</t>
        </is>
      </c>
      <c r="E93" s="18" t="inlineStr">
        <is>
          <t>Transmission</t>
        </is>
      </c>
      <c r="F93" s="18" t="inlineStr">
        <is>
          <t>Supplier A</t>
        </is>
      </c>
      <c r="G93" s="18" t="inlineStr">
        <is>
          <t>Dimensional Deviation</t>
        </is>
      </c>
      <c r="H93" s="18" t="inlineStr">
        <is>
          <t>Major</t>
        </is>
      </c>
      <c r="I93" s="18" t="inlineStr">
        <is>
          <t>In Progress</t>
        </is>
      </c>
      <c r="J93" s="18" t="n">
        <v/>
      </c>
    </row>
    <row r="94">
      <c r="A94" s="19" t="inlineStr">
        <is>
          <t>DEF-0092</t>
        </is>
      </c>
      <c r="B94" s="19" t="inlineStr">
        <is>
          <t>2024-08-07</t>
        </is>
      </c>
      <c r="C94" s="19" t="inlineStr">
        <is>
          <t>August 2024</t>
        </is>
      </c>
      <c r="D94" s="19" t="inlineStr">
        <is>
          <t>Untertürkheim</t>
        </is>
      </c>
      <c r="E94" s="19" t="inlineStr">
        <is>
          <t>Bushing</t>
        </is>
      </c>
      <c r="F94" s="19" t="inlineStr">
        <is>
          <t>Supplier C</t>
        </is>
      </c>
      <c r="G94" s="19" t="inlineStr">
        <is>
          <t>Dimensional Deviation</t>
        </is>
      </c>
      <c r="H94" s="19" t="inlineStr">
        <is>
          <t>Critical</t>
        </is>
      </c>
      <c r="I94" s="19" t="inlineStr">
        <is>
          <t>Open</t>
        </is>
      </c>
      <c r="J94" s="19" t="n">
        <v/>
      </c>
    </row>
    <row r="95">
      <c r="A95" s="18" t="inlineStr">
        <is>
          <t>DEF-0093</t>
        </is>
      </c>
      <c r="B95" s="18" t="inlineStr">
        <is>
          <t>2024-09-07</t>
        </is>
      </c>
      <c r="C95" s="18" t="inlineStr">
        <is>
          <t>September 2024</t>
        </is>
      </c>
      <c r="D95" s="18" t="inlineStr">
        <is>
          <t>Stuttgart</t>
        </is>
      </c>
      <c r="E95" s="18" t="inlineStr">
        <is>
          <t>Cylinder Head</t>
        </is>
      </c>
      <c r="F95" s="18" t="inlineStr">
        <is>
          <t>Supplier D</t>
        </is>
      </c>
      <c r="G95" s="18" t="inlineStr">
        <is>
          <t>Torque Non-conformance</t>
        </is>
      </c>
      <c r="H95" s="18" t="inlineStr">
        <is>
          <t>Minor</t>
        </is>
      </c>
      <c r="I95" s="18" t="inlineStr">
        <is>
          <t>Closed</t>
        </is>
      </c>
      <c r="J95" s="18" t="n">
        <v>14</v>
      </c>
    </row>
    <row r="96">
      <c r="A96" s="19" t="inlineStr">
        <is>
          <t>DEF-0094</t>
        </is>
      </c>
      <c r="B96" s="19" t="inlineStr">
        <is>
          <t>2024-03-31</t>
        </is>
      </c>
      <c r="C96" s="19" t="inlineStr">
        <is>
          <t>March 2024</t>
        </is>
      </c>
      <c r="D96" s="19" t="inlineStr">
        <is>
          <t>Sindelfingen</t>
        </is>
      </c>
      <c r="E96" s="19" t="inlineStr">
        <is>
          <t>Transmission</t>
        </is>
      </c>
      <c r="F96" s="19" t="inlineStr">
        <is>
          <t>Supplier D</t>
        </is>
      </c>
      <c r="G96" s="19" t="inlineStr">
        <is>
          <t>Weld Defect</t>
        </is>
      </c>
      <c r="H96" s="19" t="inlineStr">
        <is>
          <t>Minor</t>
        </is>
      </c>
      <c r="I96" s="19" t="inlineStr">
        <is>
          <t>In Progress</t>
        </is>
      </c>
      <c r="J96" s="19" t="n">
        <v/>
      </c>
    </row>
    <row r="97">
      <c r="A97" s="18" t="inlineStr">
        <is>
          <t>DEF-0095</t>
        </is>
      </c>
      <c r="B97" s="18" t="inlineStr">
        <is>
          <t>2024-05-17</t>
        </is>
      </c>
      <c r="C97" s="18" t="inlineStr">
        <is>
          <t>May 2024</t>
        </is>
      </c>
      <c r="D97" s="18" t="inlineStr">
        <is>
          <t>Munich</t>
        </is>
      </c>
      <c r="E97" s="18" t="inlineStr">
        <is>
          <t>Bushing</t>
        </is>
      </c>
      <c r="F97" s="18" t="inlineStr">
        <is>
          <t>Supplier C</t>
        </is>
      </c>
      <c r="G97" s="18" t="inlineStr">
        <is>
          <t>Coating Failure</t>
        </is>
      </c>
      <c r="H97" s="18" t="inlineStr">
        <is>
          <t>Major</t>
        </is>
      </c>
      <c r="I97" s="18" t="inlineStr">
        <is>
          <t>Closed</t>
        </is>
      </c>
      <c r="J97" s="18" t="n">
        <v>25</v>
      </c>
    </row>
    <row r="98">
      <c r="A98" s="19" t="inlineStr">
        <is>
          <t>DEF-0096</t>
        </is>
      </c>
      <c r="B98" s="19" t="inlineStr">
        <is>
          <t>2024-08-25</t>
        </is>
      </c>
      <c r="C98" s="19" t="inlineStr">
        <is>
          <t>August 2024</t>
        </is>
      </c>
      <c r="D98" s="19" t="inlineStr">
        <is>
          <t>Munich</t>
        </is>
      </c>
      <c r="E98" s="19" t="inlineStr">
        <is>
          <t>Instrument Transformer</t>
        </is>
      </c>
      <c r="F98" s="19" t="inlineStr">
        <is>
          <t>Supplier D</t>
        </is>
      </c>
      <c r="G98" s="19" t="inlineStr">
        <is>
          <t>Missing Component</t>
        </is>
      </c>
      <c r="H98" s="19" t="inlineStr">
        <is>
          <t>Major</t>
        </is>
      </c>
      <c r="I98" s="19" t="inlineStr">
        <is>
          <t>Closed</t>
        </is>
      </c>
      <c r="J98" s="19" t="n">
        <v>16</v>
      </c>
    </row>
    <row r="99">
      <c r="A99" s="18" t="inlineStr">
        <is>
          <t>DEF-0097</t>
        </is>
      </c>
      <c r="B99" s="18" t="inlineStr">
        <is>
          <t>2024-04-18</t>
        </is>
      </c>
      <c r="C99" s="18" t="inlineStr">
        <is>
          <t>April 2024</t>
        </is>
      </c>
      <c r="D99" s="18" t="inlineStr">
        <is>
          <t>Stuttgart</t>
        </is>
      </c>
      <c r="E99" s="18" t="inlineStr">
        <is>
          <t>Bushing</t>
        </is>
      </c>
      <c r="F99" s="18" t="inlineStr">
        <is>
          <t>Supplier C</t>
        </is>
      </c>
      <c r="G99" s="18" t="inlineStr">
        <is>
          <t>Contamination</t>
        </is>
      </c>
      <c r="H99" s="18" t="inlineStr">
        <is>
          <t>Minor</t>
        </is>
      </c>
      <c r="I99" s="18" t="inlineStr">
        <is>
          <t>Closed</t>
        </is>
      </c>
      <c r="J99" s="18" t="n">
        <v>18</v>
      </c>
    </row>
    <row r="100">
      <c r="A100" s="19" t="inlineStr">
        <is>
          <t>DEF-0098</t>
        </is>
      </c>
      <c r="B100" s="19" t="inlineStr">
        <is>
          <t>2024-01-06</t>
        </is>
      </c>
      <c r="C100" s="19" t="inlineStr">
        <is>
          <t>January 2024</t>
        </is>
      </c>
      <c r="D100" s="19" t="inlineStr">
        <is>
          <t>Ingolstadt</t>
        </is>
      </c>
      <c r="E100" s="19" t="inlineStr">
        <is>
          <t>eATS Motor</t>
        </is>
      </c>
      <c r="F100" s="19" t="inlineStr">
        <is>
          <t>Supplier D</t>
        </is>
      </c>
      <c r="G100" s="19" t="inlineStr">
        <is>
          <t>Dimensional Deviation</t>
        </is>
      </c>
      <c r="H100" s="19" t="inlineStr">
        <is>
          <t>Major</t>
        </is>
      </c>
      <c r="I100" s="19" t="inlineStr">
        <is>
          <t>In Progress</t>
        </is>
      </c>
      <c r="J100" s="19" t="n">
        <v/>
      </c>
    </row>
    <row r="101">
      <c r="A101" s="18" t="inlineStr">
        <is>
          <t>DEF-0099</t>
        </is>
      </c>
      <c r="B101" s="18" t="inlineStr">
        <is>
          <t>2024-05-03</t>
        </is>
      </c>
      <c r="C101" s="18" t="inlineStr">
        <is>
          <t>May 2024</t>
        </is>
      </c>
      <c r="D101" s="18" t="inlineStr">
        <is>
          <t>Sindelfingen</t>
        </is>
      </c>
      <c r="E101" s="18" t="inlineStr">
        <is>
          <t>Coil Assembly</t>
        </is>
      </c>
      <c r="F101" s="18" t="inlineStr">
        <is>
          <t>Supplier A</t>
        </is>
      </c>
      <c r="G101" s="18" t="inlineStr">
        <is>
          <t>Weld Defect</t>
        </is>
      </c>
      <c r="H101" s="18" t="inlineStr">
        <is>
          <t>Critical</t>
        </is>
      </c>
      <c r="I101" s="18" t="inlineStr">
        <is>
          <t>Closed</t>
        </is>
      </c>
      <c r="J101" s="18" t="n">
        <v>8</v>
      </c>
    </row>
    <row r="102">
      <c r="A102" s="19" t="inlineStr">
        <is>
          <t>DEF-0100</t>
        </is>
      </c>
      <c r="B102" s="19" t="inlineStr">
        <is>
          <t>2024-07-26</t>
        </is>
      </c>
      <c r="C102" s="19" t="inlineStr">
        <is>
          <t>July 2024</t>
        </is>
      </c>
      <c r="D102" s="19" t="inlineStr">
        <is>
          <t>Untertürkheim</t>
        </is>
      </c>
      <c r="E102" s="19" t="inlineStr">
        <is>
          <t>eATS Motor</t>
        </is>
      </c>
      <c r="F102" s="19" t="inlineStr">
        <is>
          <t>Supplier C</t>
        </is>
      </c>
      <c r="G102" s="19" t="inlineStr">
        <is>
          <t>Contamination</t>
        </is>
      </c>
      <c r="H102" s="19" t="inlineStr">
        <is>
          <t>Major</t>
        </is>
      </c>
      <c r="I102" s="19" t="inlineStr">
        <is>
          <t>In Progress</t>
        </is>
      </c>
      <c r="J102" s="19" t="n">
        <v/>
      </c>
    </row>
    <row r="103">
      <c r="A103" s="18" t="inlineStr">
        <is>
          <t>DEF-0101</t>
        </is>
      </c>
      <c r="B103" s="18" t="inlineStr">
        <is>
          <t>2024-09-28</t>
        </is>
      </c>
      <c r="C103" s="18" t="inlineStr">
        <is>
          <t>September 2024</t>
        </is>
      </c>
      <c r="D103" s="18" t="inlineStr">
        <is>
          <t>Untertürkheim</t>
        </is>
      </c>
      <c r="E103" s="18" t="inlineStr">
        <is>
          <t>Bushing</t>
        </is>
      </c>
      <c r="F103" s="18" t="inlineStr">
        <is>
          <t>Supplier C</t>
        </is>
      </c>
      <c r="G103" s="18" t="inlineStr">
        <is>
          <t>Torque Non-conformance</t>
        </is>
      </c>
      <c r="H103" s="18" t="inlineStr">
        <is>
          <t>Major</t>
        </is>
      </c>
      <c r="I103" s="18" t="inlineStr">
        <is>
          <t>Open</t>
        </is>
      </c>
      <c r="J103" s="18" t="n">
        <v/>
      </c>
    </row>
    <row r="104">
      <c r="A104" s="19" t="inlineStr">
        <is>
          <t>DEF-0102</t>
        </is>
      </c>
      <c r="B104" s="19" t="inlineStr">
        <is>
          <t>2024-05-18</t>
        </is>
      </c>
      <c r="C104" s="19" t="inlineStr">
        <is>
          <t>May 2024</t>
        </is>
      </c>
      <c r="D104" s="19" t="inlineStr">
        <is>
          <t>Ingolstadt</t>
        </is>
      </c>
      <c r="E104" s="19" t="inlineStr">
        <is>
          <t>Transmission</t>
        </is>
      </c>
      <c r="F104" s="19" t="inlineStr">
        <is>
          <t>Supplier A</t>
        </is>
      </c>
      <c r="G104" s="19" t="inlineStr">
        <is>
          <t>Contamination</t>
        </is>
      </c>
      <c r="H104" s="19" t="inlineStr">
        <is>
          <t>Minor</t>
        </is>
      </c>
      <c r="I104" s="19" t="inlineStr">
        <is>
          <t>Closed</t>
        </is>
      </c>
      <c r="J104" s="19" t="n">
        <v>11</v>
      </c>
    </row>
    <row r="105">
      <c r="A105" s="18" t="inlineStr">
        <is>
          <t>DEF-0103</t>
        </is>
      </c>
      <c r="B105" s="18" t="inlineStr">
        <is>
          <t>2024-03-02</t>
        </is>
      </c>
      <c r="C105" s="18" t="inlineStr">
        <is>
          <t>March 2024</t>
        </is>
      </c>
      <c r="D105" s="18" t="inlineStr">
        <is>
          <t>Ingolstadt</t>
        </is>
      </c>
      <c r="E105" s="18" t="inlineStr">
        <is>
          <t>Crankcase</t>
        </is>
      </c>
      <c r="F105" s="18" t="inlineStr">
        <is>
          <t>Supplier D</t>
        </is>
      </c>
      <c r="G105" s="18" t="inlineStr">
        <is>
          <t>Coating Failure</t>
        </is>
      </c>
      <c r="H105" s="18" t="inlineStr">
        <is>
          <t>Major</t>
        </is>
      </c>
      <c r="I105" s="18" t="inlineStr">
        <is>
          <t>In Progress</t>
        </is>
      </c>
      <c r="J105" s="18" t="n">
        <v/>
      </c>
    </row>
    <row r="106">
      <c r="A106" s="19" t="inlineStr">
        <is>
          <t>DEF-0104</t>
        </is>
      </c>
      <c r="B106" s="19" t="inlineStr">
        <is>
          <t>2024-09-25</t>
        </is>
      </c>
      <c r="C106" s="19" t="inlineStr">
        <is>
          <t>September 2024</t>
        </is>
      </c>
      <c r="D106" s="19" t="inlineStr">
        <is>
          <t>Ingolstadt</t>
        </is>
      </c>
      <c r="E106" s="19" t="inlineStr">
        <is>
          <t>Transmission</t>
        </is>
      </c>
      <c r="F106" s="19" t="inlineStr">
        <is>
          <t>Supplier C</t>
        </is>
      </c>
      <c r="G106" s="19" t="inlineStr">
        <is>
          <t>Dimensional Deviation</t>
        </is>
      </c>
      <c r="H106" s="19" t="inlineStr">
        <is>
          <t>Critical</t>
        </is>
      </c>
      <c r="I106" s="19" t="inlineStr">
        <is>
          <t>Closed</t>
        </is>
      </c>
      <c r="J106" s="19" t="n">
        <v>6</v>
      </c>
    </row>
    <row r="107">
      <c r="A107" s="18" t="inlineStr">
        <is>
          <t>DEF-0105</t>
        </is>
      </c>
      <c r="B107" s="18" t="inlineStr">
        <is>
          <t>2024-06-03</t>
        </is>
      </c>
      <c r="C107" s="18" t="inlineStr">
        <is>
          <t>June 2024</t>
        </is>
      </c>
      <c r="D107" s="18" t="inlineStr">
        <is>
          <t>Stuttgart</t>
        </is>
      </c>
      <c r="E107" s="18" t="inlineStr">
        <is>
          <t>Crankshaft</t>
        </is>
      </c>
      <c r="F107" s="18" t="inlineStr">
        <is>
          <t>Supplier A</t>
        </is>
      </c>
      <c r="G107" s="18" t="inlineStr">
        <is>
          <t>Assembly Error</t>
        </is>
      </c>
      <c r="H107" s="18" t="inlineStr">
        <is>
          <t>Critical</t>
        </is>
      </c>
      <c r="I107" s="18" t="inlineStr">
        <is>
          <t>In Progress</t>
        </is>
      </c>
      <c r="J107" s="18" t="n">
        <v/>
      </c>
    </row>
    <row r="108">
      <c r="A108" s="19" t="inlineStr">
        <is>
          <t>DEF-0106</t>
        </is>
      </c>
      <c r="B108" s="19" t="inlineStr">
        <is>
          <t>2024-05-29</t>
        </is>
      </c>
      <c r="C108" s="19" t="inlineStr">
        <is>
          <t>May 2024</t>
        </is>
      </c>
      <c r="D108" s="19" t="inlineStr">
        <is>
          <t>Munich</t>
        </is>
      </c>
      <c r="E108" s="19" t="inlineStr">
        <is>
          <t>Crankcase</t>
        </is>
      </c>
      <c r="F108" s="19" t="inlineStr">
        <is>
          <t>Supplier A</t>
        </is>
      </c>
      <c r="G108" s="19" t="inlineStr">
        <is>
          <t>Weld Defect</t>
        </is>
      </c>
      <c r="H108" s="19" t="inlineStr">
        <is>
          <t>Minor</t>
        </is>
      </c>
      <c r="I108" s="19" t="inlineStr">
        <is>
          <t>Closed</t>
        </is>
      </c>
      <c r="J108" s="19" t="n">
        <v>16</v>
      </c>
    </row>
    <row r="109">
      <c r="A109" s="18" t="inlineStr">
        <is>
          <t>DEF-0107</t>
        </is>
      </c>
      <c r="B109" s="18" t="inlineStr">
        <is>
          <t>2024-09-02</t>
        </is>
      </c>
      <c r="C109" s="18" t="inlineStr">
        <is>
          <t>September 2024</t>
        </is>
      </c>
      <c r="D109" s="18" t="inlineStr">
        <is>
          <t>Ingolstadt</t>
        </is>
      </c>
      <c r="E109" s="18" t="inlineStr">
        <is>
          <t>Coil Assembly</t>
        </is>
      </c>
      <c r="F109" s="18" t="inlineStr">
        <is>
          <t>Supplier A</t>
        </is>
      </c>
      <c r="G109" s="18" t="inlineStr">
        <is>
          <t>Missing Component</t>
        </is>
      </c>
      <c r="H109" s="18" t="inlineStr">
        <is>
          <t>Major</t>
        </is>
      </c>
      <c r="I109" s="18" t="inlineStr">
        <is>
          <t>Open</t>
        </is>
      </c>
      <c r="J109" s="18" t="n">
        <v/>
      </c>
    </row>
    <row r="110">
      <c r="A110" s="19" t="inlineStr">
        <is>
          <t>DEF-0108</t>
        </is>
      </c>
      <c r="B110" s="19" t="inlineStr">
        <is>
          <t>2024-02-28</t>
        </is>
      </c>
      <c r="C110" s="19" t="inlineStr">
        <is>
          <t>February 2024</t>
        </is>
      </c>
      <c r="D110" s="19" t="inlineStr">
        <is>
          <t>Sindelfingen</t>
        </is>
      </c>
      <c r="E110" s="19" t="inlineStr">
        <is>
          <t>Cylinder Head</t>
        </is>
      </c>
      <c r="F110" s="19" t="inlineStr">
        <is>
          <t>Supplier A</t>
        </is>
      </c>
      <c r="G110" s="19" t="inlineStr">
        <is>
          <t>Torque Non-conformance</t>
        </is>
      </c>
      <c r="H110" s="19" t="inlineStr">
        <is>
          <t>Minor</t>
        </is>
      </c>
      <c r="I110" s="19" t="inlineStr">
        <is>
          <t>Closed</t>
        </is>
      </c>
      <c r="J110" s="19" t="n">
        <v>5</v>
      </c>
    </row>
    <row r="111">
      <c r="A111" s="18" t="inlineStr">
        <is>
          <t>DEF-0109</t>
        </is>
      </c>
      <c r="B111" s="18" t="inlineStr">
        <is>
          <t>2024-03-17</t>
        </is>
      </c>
      <c r="C111" s="18" t="inlineStr">
        <is>
          <t>March 2024</t>
        </is>
      </c>
      <c r="D111" s="18" t="inlineStr">
        <is>
          <t>Ingolstadt</t>
        </is>
      </c>
      <c r="E111" s="18" t="inlineStr">
        <is>
          <t>Transmission</t>
        </is>
      </c>
      <c r="F111" s="18" t="inlineStr">
        <is>
          <t>Supplier A</t>
        </is>
      </c>
      <c r="G111" s="18" t="inlineStr">
        <is>
          <t>Dimensional Deviation</t>
        </is>
      </c>
      <c r="H111" s="18" t="inlineStr">
        <is>
          <t>Minor</t>
        </is>
      </c>
      <c r="I111" s="18" t="inlineStr">
        <is>
          <t>Open</t>
        </is>
      </c>
      <c r="J111" s="18" t="n">
        <v/>
      </c>
    </row>
    <row r="112">
      <c r="A112" s="19" t="inlineStr">
        <is>
          <t>DEF-0110</t>
        </is>
      </c>
      <c r="B112" s="19" t="inlineStr">
        <is>
          <t>2024-11-06</t>
        </is>
      </c>
      <c r="C112" s="19" t="inlineStr">
        <is>
          <t>November 2024</t>
        </is>
      </c>
      <c r="D112" s="19" t="inlineStr">
        <is>
          <t>Sindelfingen</t>
        </is>
      </c>
      <c r="E112" s="19" t="inlineStr">
        <is>
          <t>eATS Motor</t>
        </is>
      </c>
      <c r="F112" s="19" t="inlineStr">
        <is>
          <t>Supplier D</t>
        </is>
      </c>
      <c r="G112" s="19" t="inlineStr">
        <is>
          <t>Torque Non-conformance</t>
        </is>
      </c>
      <c r="H112" s="19" t="inlineStr">
        <is>
          <t>Major</t>
        </is>
      </c>
      <c r="I112" s="19" t="inlineStr">
        <is>
          <t>In Progress</t>
        </is>
      </c>
      <c r="J112" s="19" t="n">
        <v/>
      </c>
    </row>
    <row r="113">
      <c r="A113" s="18" t="inlineStr">
        <is>
          <t>DEF-0111</t>
        </is>
      </c>
      <c r="B113" s="18" t="inlineStr">
        <is>
          <t>2024-08-07</t>
        </is>
      </c>
      <c r="C113" s="18" t="inlineStr">
        <is>
          <t>August 2024</t>
        </is>
      </c>
      <c r="D113" s="18" t="inlineStr">
        <is>
          <t>Untertürkheim</t>
        </is>
      </c>
      <c r="E113" s="18" t="inlineStr">
        <is>
          <t>Transmission</t>
        </is>
      </c>
      <c r="F113" s="18" t="inlineStr">
        <is>
          <t>Supplier A</t>
        </is>
      </c>
      <c r="G113" s="18" t="inlineStr">
        <is>
          <t>Surface Corrosion</t>
        </is>
      </c>
      <c r="H113" s="18" t="inlineStr">
        <is>
          <t>Critical</t>
        </is>
      </c>
      <c r="I113" s="18" t="inlineStr">
        <is>
          <t>Closed</t>
        </is>
      </c>
      <c r="J113" s="18" t="n">
        <v>9</v>
      </c>
    </row>
    <row r="114">
      <c r="A114" s="19" t="inlineStr">
        <is>
          <t>DEF-0112</t>
        </is>
      </c>
      <c r="B114" s="19" t="inlineStr">
        <is>
          <t>2024-12-04</t>
        </is>
      </c>
      <c r="C114" s="19" t="inlineStr">
        <is>
          <t>December 2024</t>
        </is>
      </c>
      <c r="D114" s="19" t="inlineStr">
        <is>
          <t>Ingolstadt</t>
        </is>
      </c>
      <c r="E114" s="19" t="inlineStr">
        <is>
          <t>Cylinder Head</t>
        </is>
      </c>
      <c r="F114" s="19" t="inlineStr">
        <is>
          <t>Supplier B</t>
        </is>
      </c>
      <c r="G114" s="19" t="inlineStr">
        <is>
          <t>Assembly Error</t>
        </is>
      </c>
      <c r="H114" s="19" t="inlineStr">
        <is>
          <t>Minor</t>
        </is>
      </c>
      <c r="I114" s="19" t="inlineStr">
        <is>
          <t>Closed</t>
        </is>
      </c>
      <c r="J114" s="19" t="n">
        <v>6</v>
      </c>
    </row>
    <row r="115">
      <c r="A115" s="18" t="inlineStr">
        <is>
          <t>DEF-0113</t>
        </is>
      </c>
      <c r="B115" s="18" t="inlineStr">
        <is>
          <t>2024-01-02</t>
        </is>
      </c>
      <c r="C115" s="18" t="inlineStr">
        <is>
          <t>January 2024</t>
        </is>
      </c>
      <c r="D115" s="18" t="inlineStr">
        <is>
          <t>Untertürkheim</t>
        </is>
      </c>
      <c r="E115" s="18" t="inlineStr">
        <is>
          <t>Instrument Transformer</t>
        </is>
      </c>
      <c r="F115" s="18" t="inlineStr">
        <is>
          <t>Supplier D</t>
        </is>
      </c>
      <c r="G115" s="18" t="inlineStr">
        <is>
          <t>Weld Defect</t>
        </is>
      </c>
      <c r="H115" s="18" t="inlineStr">
        <is>
          <t>Major</t>
        </is>
      </c>
      <c r="I115" s="18" t="inlineStr">
        <is>
          <t>Closed</t>
        </is>
      </c>
      <c r="J115" s="18" t="n">
        <v>8</v>
      </c>
    </row>
    <row r="116">
      <c r="A116" s="19" t="inlineStr">
        <is>
          <t>DEF-0114</t>
        </is>
      </c>
      <c r="B116" s="19" t="inlineStr">
        <is>
          <t>2024-05-27</t>
        </is>
      </c>
      <c r="C116" s="19" t="inlineStr">
        <is>
          <t>May 2024</t>
        </is>
      </c>
      <c r="D116" s="19" t="inlineStr">
        <is>
          <t>Munich</t>
        </is>
      </c>
      <c r="E116" s="19" t="inlineStr">
        <is>
          <t>Transmission</t>
        </is>
      </c>
      <c r="F116" s="19" t="inlineStr">
        <is>
          <t>Supplier B</t>
        </is>
      </c>
      <c r="G116" s="19" t="inlineStr">
        <is>
          <t>Weld Defect</t>
        </is>
      </c>
      <c r="H116" s="19" t="inlineStr">
        <is>
          <t>Major</t>
        </is>
      </c>
      <c r="I116" s="19" t="inlineStr">
        <is>
          <t>In Progress</t>
        </is>
      </c>
      <c r="J116" s="19" t="n">
        <v/>
      </c>
    </row>
    <row r="117">
      <c r="A117" s="18" t="inlineStr">
        <is>
          <t>DEF-0115</t>
        </is>
      </c>
      <c r="B117" s="18" t="inlineStr">
        <is>
          <t>2024-12-04</t>
        </is>
      </c>
      <c r="C117" s="18" t="inlineStr">
        <is>
          <t>December 2024</t>
        </is>
      </c>
      <c r="D117" s="18" t="inlineStr">
        <is>
          <t>Munich</t>
        </is>
      </c>
      <c r="E117" s="18" t="inlineStr">
        <is>
          <t>eATS Motor</t>
        </is>
      </c>
      <c r="F117" s="18" t="inlineStr">
        <is>
          <t>Supplier E</t>
        </is>
      </c>
      <c r="G117" s="18" t="inlineStr">
        <is>
          <t>Torque Non-conformance</t>
        </is>
      </c>
      <c r="H117" s="18" t="inlineStr">
        <is>
          <t>Critical</t>
        </is>
      </c>
      <c r="I117" s="18" t="inlineStr">
        <is>
          <t>Closed</t>
        </is>
      </c>
      <c r="J117" s="18" t="n">
        <v>30</v>
      </c>
    </row>
    <row r="118">
      <c r="A118" s="19" t="inlineStr">
        <is>
          <t>DEF-0116</t>
        </is>
      </c>
      <c r="B118" s="19" t="inlineStr">
        <is>
          <t>2024-05-16</t>
        </is>
      </c>
      <c r="C118" s="19" t="inlineStr">
        <is>
          <t>May 2024</t>
        </is>
      </c>
      <c r="D118" s="19" t="inlineStr">
        <is>
          <t>Munich</t>
        </is>
      </c>
      <c r="E118" s="19" t="inlineStr">
        <is>
          <t>Crankcase</t>
        </is>
      </c>
      <c r="F118" s="19" t="inlineStr">
        <is>
          <t>Supplier B</t>
        </is>
      </c>
      <c r="G118" s="19" t="inlineStr">
        <is>
          <t>Dimensional Deviation</t>
        </is>
      </c>
      <c r="H118" s="19" t="inlineStr">
        <is>
          <t>Major</t>
        </is>
      </c>
      <c r="I118" s="19" t="inlineStr">
        <is>
          <t>In Progress</t>
        </is>
      </c>
      <c r="J118" s="19" t="n">
        <v/>
      </c>
    </row>
    <row r="119">
      <c r="A119" s="18" t="inlineStr">
        <is>
          <t>DEF-0117</t>
        </is>
      </c>
      <c r="B119" s="18" t="inlineStr">
        <is>
          <t>2024-10-18</t>
        </is>
      </c>
      <c r="C119" s="18" t="inlineStr">
        <is>
          <t>October 2024</t>
        </is>
      </c>
      <c r="D119" s="18" t="inlineStr">
        <is>
          <t>Munich</t>
        </is>
      </c>
      <c r="E119" s="18" t="inlineStr">
        <is>
          <t>Transmission</t>
        </is>
      </c>
      <c r="F119" s="18" t="inlineStr">
        <is>
          <t>Supplier D</t>
        </is>
      </c>
      <c r="G119" s="18" t="inlineStr">
        <is>
          <t>Weld Defect</t>
        </is>
      </c>
      <c r="H119" s="18" t="inlineStr">
        <is>
          <t>Minor</t>
        </is>
      </c>
      <c r="I119" s="18" t="inlineStr">
        <is>
          <t>Closed</t>
        </is>
      </c>
      <c r="J119" s="18" t="n">
        <v>23</v>
      </c>
    </row>
    <row r="120">
      <c r="A120" s="19" t="inlineStr">
        <is>
          <t>DEF-0118</t>
        </is>
      </c>
      <c r="B120" s="19" t="inlineStr">
        <is>
          <t>2024-07-25</t>
        </is>
      </c>
      <c r="C120" s="19" t="inlineStr">
        <is>
          <t>July 2024</t>
        </is>
      </c>
      <c r="D120" s="19" t="inlineStr">
        <is>
          <t>Sindelfingen</t>
        </is>
      </c>
      <c r="E120" s="19" t="inlineStr">
        <is>
          <t>Transmission</t>
        </is>
      </c>
      <c r="F120" s="19" t="inlineStr">
        <is>
          <t>Supplier A</t>
        </is>
      </c>
      <c r="G120" s="19" t="inlineStr">
        <is>
          <t>Weld Defect</t>
        </is>
      </c>
      <c r="H120" s="19" t="inlineStr">
        <is>
          <t>Minor</t>
        </is>
      </c>
      <c r="I120" s="19" t="inlineStr">
        <is>
          <t>Closed</t>
        </is>
      </c>
      <c r="J120" s="19" t="n">
        <v>29</v>
      </c>
    </row>
    <row r="121">
      <c r="A121" s="18" t="inlineStr">
        <is>
          <t>DEF-0119</t>
        </is>
      </c>
      <c r="B121" s="18" t="inlineStr">
        <is>
          <t>2024-08-09</t>
        </is>
      </c>
      <c r="C121" s="18" t="inlineStr">
        <is>
          <t>August 2024</t>
        </is>
      </c>
      <c r="D121" s="18" t="inlineStr">
        <is>
          <t>Munich</t>
        </is>
      </c>
      <c r="E121" s="18" t="inlineStr">
        <is>
          <t>Bushing</t>
        </is>
      </c>
      <c r="F121" s="18" t="inlineStr">
        <is>
          <t>Supplier A</t>
        </is>
      </c>
      <c r="G121" s="18" t="inlineStr">
        <is>
          <t>Contamination</t>
        </is>
      </c>
      <c r="H121" s="18" t="inlineStr">
        <is>
          <t>Critical</t>
        </is>
      </c>
      <c r="I121" s="18" t="inlineStr">
        <is>
          <t>In Progress</t>
        </is>
      </c>
      <c r="J121" s="18" t="n">
        <v/>
      </c>
    </row>
    <row r="122">
      <c r="A122" s="19" t="inlineStr">
        <is>
          <t>DEF-0120</t>
        </is>
      </c>
      <c r="B122" s="19" t="inlineStr">
        <is>
          <t>2024-10-27</t>
        </is>
      </c>
      <c r="C122" s="19" t="inlineStr">
        <is>
          <t>October 2024</t>
        </is>
      </c>
      <c r="D122" s="19" t="inlineStr">
        <is>
          <t>Untertürkheim</t>
        </is>
      </c>
      <c r="E122" s="19" t="inlineStr">
        <is>
          <t>Crankshaft</t>
        </is>
      </c>
      <c r="F122" s="19" t="inlineStr">
        <is>
          <t>Supplier A</t>
        </is>
      </c>
      <c r="G122" s="19" t="inlineStr">
        <is>
          <t>Contamination</t>
        </is>
      </c>
      <c r="H122" s="19" t="inlineStr">
        <is>
          <t>Critical</t>
        </is>
      </c>
      <c r="I122" s="19" t="inlineStr">
        <is>
          <t>Open</t>
        </is>
      </c>
      <c r="J122" s="19" t="n">
        <v/>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2"/>
  <sheetViews>
    <sheetView showGridLines="0" workbookViewId="0">
      <selection activeCell="A1" sqref="A1"/>
    </sheetView>
  </sheetViews>
  <sheetFormatPr baseColWidth="8" defaultRowHeight="15"/>
  <cols>
    <col width="12" customWidth="1" min="1" max="1"/>
    <col width="14" customWidth="1" min="2" max="2"/>
    <col width="17" customWidth="1" min="3" max="3"/>
    <col width="28" customWidth="1" min="4" max="4"/>
    <col width="13" customWidth="1" min="5" max="5"/>
    <col width="10" customWidth="1" min="6" max="6"/>
    <col width="28" customWidth="1" min="7" max="7"/>
    <col width="12" customWidth="1" min="8" max="8"/>
  </cols>
  <sheetData>
    <row r="1" ht="30" customHeight="1">
      <c r="A1" s="16" t="inlineStr">
        <is>
          <t>Process Audit Log</t>
        </is>
      </c>
    </row>
    <row r="2" ht="28" customHeight="1">
      <c r="A2" s="21" t="inlineStr">
        <is>
          <t>Audit ID</t>
        </is>
      </c>
      <c r="B2" s="21" t="inlineStr">
        <is>
          <t>Date</t>
        </is>
      </c>
      <c r="C2" s="21" t="inlineStr">
        <is>
          <t>Plant</t>
        </is>
      </c>
      <c r="D2" s="21" t="inlineStr">
        <is>
          <t>Criteria</t>
        </is>
      </c>
      <c r="E2" s="21" t="inlineStr">
        <is>
          <t>Score (%)</t>
        </is>
      </c>
      <c r="F2" s="21" t="inlineStr">
        <is>
          <t>Status</t>
        </is>
      </c>
      <c r="G2" s="21" t="inlineStr">
        <is>
          <t>Action Required</t>
        </is>
      </c>
      <c r="H2" s="21" t="inlineStr">
        <is>
          <t>Auditor</t>
        </is>
      </c>
    </row>
    <row r="3">
      <c r="A3" s="18" t="inlineStr">
        <is>
          <t>AUD-001</t>
        </is>
      </c>
      <c r="B3" s="18" t="inlineStr">
        <is>
          <t>2024-03-10</t>
        </is>
      </c>
      <c r="C3" s="18" t="inlineStr">
        <is>
          <t>Munich</t>
        </is>
      </c>
      <c r="D3" s="18" t="inlineStr">
        <is>
          <t>Tool Calibration</t>
        </is>
      </c>
      <c r="E3" s="18" t="n">
        <v>86</v>
      </c>
      <c r="F3" s="18" t="inlineStr">
        <is>
          <t>Pass</t>
        </is>
      </c>
      <c r="G3" s="18" t="inlineStr">
        <is>
          <t>Monitor next cycle</t>
        </is>
      </c>
      <c r="H3" s="18" t="inlineStr">
        <is>
          <t>S. Panda</t>
        </is>
      </c>
    </row>
    <row r="4">
      <c r="A4" s="19" t="inlineStr">
        <is>
          <t>AUD-002</t>
        </is>
      </c>
      <c r="B4" s="19" t="inlineStr">
        <is>
          <t>2024-06-23</t>
        </is>
      </c>
      <c r="C4" s="19" t="inlineStr">
        <is>
          <t>Untertürkheim</t>
        </is>
      </c>
      <c r="D4" s="19" t="inlineStr">
        <is>
          <t>Tool Calibration</t>
        </is>
      </c>
      <c r="E4" s="19" t="n">
        <v>60</v>
      </c>
      <c r="F4" s="19" t="inlineStr">
        <is>
          <t>Fail</t>
        </is>
      </c>
      <c r="G4" s="19" t="inlineStr">
        <is>
          <t>Corrective action required</t>
        </is>
      </c>
      <c r="H4" s="19" t="inlineStr">
        <is>
          <t>S. Panda</t>
        </is>
      </c>
    </row>
    <row r="5">
      <c r="A5" s="18" t="inlineStr">
        <is>
          <t>AUD-003</t>
        </is>
      </c>
      <c r="B5" s="18" t="inlineStr">
        <is>
          <t>2024-05-24</t>
        </is>
      </c>
      <c r="C5" s="18" t="inlineStr">
        <is>
          <t>Stuttgart</t>
        </is>
      </c>
      <c r="D5" s="18" t="inlineStr">
        <is>
          <t>Non-conformance Handling</t>
        </is>
      </c>
      <c r="E5" s="18" t="n">
        <v>69</v>
      </c>
      <c r="F5" s="18" t="inlineStr">
        <is>
          <t>Fail</t>
        </is>
      </c>
      <c r="G5" s="18" t="inlineStr">
        <is>
          <t>Corrective action required</t>
        </is>
      </c>
      <c r="H5" s="18" t="inlineStr">
        <is>
          <t>S. Panda</t>
        </is>
      </c>
    </row>
    <row r="6">
      <c r="A6" s="19" t="inlineStr">
        <is>
          <t>AUD-004</t>
        </is>
      </c>
      <c r="B6" s="19" t="inlineStr">
        <is>
          <t>2024-08-16</t>
        </is>
      </c>
      <c r="C6" s="19" t="inlineStr">
        <is>
          <t>Untertürkheim</t>
        </is>
      </c>
      <c r="D6" s="19" t="inlineStr">
        <is>
          <t>Non-conformance Handling</t>
        </is>
      </c>
      <c r="E6" s="19" t="n">
        <v>82</v>
      </c>
      <c r="F6" s="19" t="inlineStr">
        <is>
          <t>Pass</t>
        </is>
      </c>
      <c r="G6" s="19" t="inlineStr">
        <is>
          <t>Monitor next cycle</t>
        </is>
      </c>
      <c r="H6" s="19" t="inlineStr">
        <is>
          <t>S. Panda</t>
        </is>
      </c>
    </row>
    <row r="7">
      <c r="A7" s="18" t="inlineStr">
        <is>
          <t>AUD-005</t>
        </is>
      </c>
      <c r="B7" s="18" t="inlineStr">
        <is>
          <t>2024-06-19</t>
        </is>
      </c>
      <c r="C7" s="18" t="inlineStr">
        <is>
          <t>Untertürkheim</t>
        </is>
      </c>
      <c r="D7" s="18" t="inlineStr">
        <is>
          <t>Traceability Records</t>
        </is>
      </c>
      <c r="E7" s="18" t="n">
        <v>89</v>
      </c>
      <c r="F7" s="18" t="inlineStr">
        <is>
          <t>Pass</t>
        </is>
      </c>
      <c r="G7" s="18" t="inlineStr">
        <is>
          <t>Monitor next cycle</t>
        </is>
      </c>
      <c r="H7" s="18" t="inlineStr">
        <is>
          <t>S. Panda</t>
        </is>
      </c>
    </row>
    <row r="8">
      <c r="A8" s="19" t="inlineStr">
        <is>
          <t>AUD-006</t>
        </is>
      </c>
      <c r="B8" s="19" t="inlineStr">
        <is>
          <t>2024-06-13</t>
        </is>
      </c>
      <c r="C8" s="19" t="inlineStr">
        <is>
          <t>Ingolstadt</t>
        </is>
      </c>
      <c r="D8" s="19" t="inlineStr">
        <is>
          <t>Dimensional Accuracy</t>
        </is>
      </c>
      <c r="E8" s="19" t="n">
        <v>96</v>
      </c>
      <c r="F8" s="19" t="inlineStr">
        <is>
          <t>Pass</t>
        </is>
      </c>
      <c r="G8" s="19" t="inlineStr">
        <is>
          <t>No action required</t>
        </is>
      </c>
      <c r="H8" s="19" t="inlineStr">
        <is>
          <t>S. Panda</t>
        </is>
      </c>
    </row>
    <row r="9">
      <c r="A9" s="18" t="inlineStr">
        <is>
          <t>AUD-007</t>
        </is>
      </c>
      <c r="B9" s="18" t="inlineStr">
        <is>
          <t>2024-07-15</t>
        </is>
      </c>
      <c r="C9" s="18" t="inlineStr">
        <is>
          <t>Ingolstadt</t>
        </is>
      </c>
      <c r="D9" s="18" t="inlineStr">
        <is>
          <t>Traceability Records</t>
        </is>
      </c>
      <c r="E9" s="18" t="n">
        <v>62</v>
      </c>
      <c r="F9" s="18" t="inlineStr">
        <is>
          <t>Fail</t>
        </is>
      </c>
      <c r="G9" s="18" t="inlineStr">
        <is>
          <t>Corrective action required</t>
        </is>
      </c>
      <c r="H9" s="18" t="inlineStr">
        <is>
          <t>S. Panda</t>
        </is>
      </c>
    </row>
    <row r="10">
      <c r="A10" s="19" t="inlineStr">
        <is>
          <t>AUD-008</t>
        </is>
      </c>
      <c r="B10" s="19" t="inlineStr">
        <is>
          <t>2024-06-11</t>
        </is>
      </c>
      <c r="C10" s="19" t="inlineStr">
        <is>
          <t>Sindelfingen</t>
        </is>
      </c>
      <c r="D10" s="19" t="inlineStr">
        <is>
          <t>Traceability Records</t>
        </is>
      </c>
      <c r="E10" s="19" t="n">
        <v>84</v>
      </c>
      <c r="F10" s="19" t="inlineStr">
        <is>
          <t>Pass</t>
        </is>
      </c>
      <c r="G10" s="19" t="inlineStr">
        <is>
          <t>Monitor next cycle</t>
        </is>
      </c>
      <c r="H10" s="19" t="inlineStr">
        <is>
          <t>S. Panda</t>
        </is>
      </c>
    </row>
    <row r="11">
      <c r="A11" s="18" t="inlineStr">
        <is>
          <t>AUD-009</t>
        </is>
      </c>
      <c r="B11" s="18" t="inlineStr">
        <is>
          <t>2024-12-05</t>
        </is>
      </c>
      <c r="C11" s="18" t="inlineStr">
        <is>
          <t>Ingolstadt</t>
        </is>
      </c>
      <c r="D11" s="18" t="inlineStr">
        <is>
          <t>Non-conformance Handling</t>
        </is>
      </c>
      <c r="E11" s="18" t="n">
        <v>62</v>
      </c>
      <c r="F11" s="18" t="inlineStr">
        <is>
          <t>Fail</t>
        </is>
      </c>
      <c r="G11" s="18" t="inlineStr">
        <is>
          <t>Corrective action required</t>
        </is>
      </c>
      <c r="H11" s="18" t="inlineStr">
        <is>
          <t>S. Panda</t>
        </is>
      </c>
    </row>
    <row r="12">
      <c r="A12" s="19" t="inlineStr">
        <is>
          <t>AUD-010</t>
        </is>
      </c>
      <c r="B12" s="19" t="inlineStr">
        <is>
          <t>2024-03-05</t>
        </is>
      </c>
      <c r="C12" s="19" t="inlineStr">
        <is>
          <t>Untertürkheim</t>
        </is>
      </c>
      <c r="D12" s="19" t="inlineStr">
        <is>
          <t>Operator Training</t>
        </is>
      </c>
      <c r="E12" s="19" t="n">
        <v>66</v>
      </c>
      <c r="F12" s="19" t="inlineStr">
        <is>
          <t>Fail</t>
        </is>
      </c>
      <c r="G12" s="19" t="inlineStr">
        <is>
          <t>Corrective action required</t>
        </is>
      </c>
      <c r="H12" s="19" t="inlineStr">
        <is>
          <t>S. Panda</t>
        </is>
      </c>
    </row>
    <row r="13">
      <c r="A13" s="18" t="inlineStr">
        <is>
          <t>AUD-011</t>
        </is>
      </c>
      <c r="B13" s="18" t="inlineStr">
        <is>
          <t>2024-08-13</t>
        </is>
      </c>
      <c r="C13" s="18" t="inlineStr">
        <is>
          <t>Munich</t>
        </is>
      </c>
      <c r="D13" s="18" t="inlineStr">
        <is>
          <t>Non-conformance Handling</t>
        </is>
      </c>
      <c r="E13" s="18" t="n">
        <v>60</v>
      </c>
      <c r="F13" s="18" t="inlineStr">
        <is>
          <t>Fail</t>
        </is>
      </c>
      <c r="G13" s="18" t="inlineStr">
        <is>
          <t>Corrective action required</t>
        </is>
      </c>
      <c r="H13" s="18" t="inlineStr">
        <is>
          <t>S. Panda</t>
        </is>
      </c>
    </row>
    <row r="14">
      <c r="A14" s="19" t="inlineStr">
        <is>
          <t>AUD-012</t>
        </is>
      </c>
      <c r="B14" s="19" t="inlineStr">
        <is>
          <t>2024-03-14</t>
        </is>
      </c>
      <c r="C14" s="19" t="inlineStr">
        <is>
          <t>Sindelfingen</t>
        </is>
      </c>
      <c r="D14" s="19" t="inlineStr">
        <is>
          <t>Corrosion Protection</t>
        </is>
      </c>
      <c r="E14" s="19" t="n">
        <v>64</v>
      </c>
      <c r="F14" s="19" t="inlineStr">
        <is>
          <t>Fail</t>
        </is>
      </c>
      <c r="G14" s="19" t="inlineStr">
        <is>
          <t>Corrective action required</t>
        </is>
      </c>
      <c r="H14" s="19" t="inlineStr">
        <is>
          <t>S. Panda</t>
        </is>
      </c>
    </row>
    <row r="15">
      <c r="A15" s="18" t="inlineStr">
        <is>
          <t>AUD-013</t>
        </is>
      </c>
      <c r="B15" s="18" t="inlineStr">
        <is>
          <t>2024-08-28</t>
        </is>
      </c>
      <c r="C15" s="18" t="inlineStr">
        <is>
          <t>Stuttgart</t>
        </is>
      </c>
      <c r="D15" s="18" t="inlineStr">
        <is>
          <t>Operator Training</t>
        </is>
      </c>
      <c r="E15" s="18" t="n">
        <v>99</v>
      </c>
      <c r="F15" s="18" t="inlineStr">
        <is>
          <t>Pass</t>
        </is>
      </c>
      <c r="G15" s="18" t="inlineStr">
        <is>
          <t>No action required</t>
        </is>
      </c>
      <c r="H15" s="18" t="inlineStr">
        <is>
          <t>S. Panda</t>
        </is>
      </c>
    </row>
    <row r="16">
      <c r="A16" s="19" t="inlineStr">
        <is>
          <t>AUD-014</t>
        </is>
      </c>
      <c r="B16" s="19" t="inlineStr">
        <is>
          <t>2024-12-20</t>
        </is>
      </c>
      <c r="C16" s="19" t="inlineStr">
        <is>
          <t>Sindelfingen</t>
        </is>
      </c>
      <c r="D16" s="19" t="inlineStr">
        <is>
          <t>Cleanliness Standards</t>
        </is>
      </c>
      <c r="E16" s="19" t="n">
        <v>81</v>
      </c>
      <c r="F16" s="19" t="inlineStr">
        <is>
          <t>Pass</t>
        </is>
      </c>
      <c r="G16" s="19" t="inlineStr">
        <is>
          <t>Monitor next cycle</t>
        </is>
      </c>
      <c r="H16" s="19" t="inlineStr">
        <is>
          <t>S. Panda</t>
        </is>
      </c>
    </row>
    <row r="17">
      <c r="A17" s="18" t="inlineStr">
        <is>
          <t>AUD-015</t>
        </is>
      </c>
      <c r="B17" s="18" t="inlineStr">
        <is>
          <t>2024-12-11</t>
        </is>
      </c>
      <c r="C17" s="18" t="inlineStr">
        <is>
          <t>Untertürkheim</t>
        </is>
      </c>
      <c r="D17" s="18" t="inlineStr">
        <is>
          <t>Traceability Records</t>
        </is>
      </c>
      <c r="E17" s="18" t="n">
        <v>80</v>
      </c>
      <c r="F17" s="18" t="inlineStr">
        <is>
          <t>Pass</t>
        </is>
      </c>
      <c r="G17" s="18" t="inlineStr">
        <is>
          <t>Monitor next cycle</t>
        </is>
      </c>
      <c r="H17" s="18" t="inlineStr">
        <is>
          <t>S. Panda</t>
        </is>
      </c>
    </row>
    <row r="18">
      <c r="A18" s="19" t="inlineStr">
        <is>
          <t>AUD-016</t>
        </is>
      </c>
      <c r="B18" s="19" t="inlineStr">
        <is>
          <t>2024-11-16</t>
        </is>
      </c>
      <c r="C18" s="19" t="inlineStr">
        <is>
          <t>Sindelfingen</t>
        </is>
      </c>
      <c r="D18" s="19" t="inlineStr">
        <is>
          <t>Process Documentation</t>
        </is>
      </c>
      <c r="E18" s="19" t="n">
        <v>99</v>
      </c>
      <c r="F18" s="19" t="inlineStr">
        <is>
          <t>Pass</t>
        </is>
      </c>
      <c r="G18" s="19" t="inlineStr">
        <is>
          <t>No action required</t>
        </is>
      </c>
      <c r="H18" s="19" t="inlineStr">
        <is>
          <t>S. Panda</t>
        </is>
      </c>
    </row>
    <row r="19">
      <c r="A19" s="18" t="inlineStr">
        <is>
          <t>AUD-017</t>
        </is>
      </c>
      <c r="B19" s="18" t="inlineStr">
        <is>
          <t>2024-02-05</t>
        </is>
      </c>
      <c r="C19" s="18" t="inlineStr">
        <is>
          <t>Ingolstadt</t>
        </is>
      </c>
      <c r="D19" s="18" t="inlineStr">
        <is>
          <t>Tool Calibration</t>
        </is>
      </c>
      <c r="E19" s="18" t="n">
        <v>74</v>
      </c>
      <c r="F19" s="18" t="inlineStr">
        <is>
          <t>Fail</t>
        </is>
      </c>
      <c r="G19" s="18" t="inlineStr">
        <is>
          <t>Corrective action required</t>
        </is>
      </c>
      <c r="H19" s="18" t="inlineStr">
        <is>
          <t>S. Panda</t>
        </is>
      </c>
    </row>
    <row r="20">
      <c r="A20" s="19" t="inlineStr">
        <is>
          <t>AUD-018</t>
        </is>
      </c>
      <c r="B20" s="19" t="inlineStr">
        <is>
          <t>2024-02-16</t>
        </is>
      </c>
      <c r="C20" s="19" t="inlineStr">
        <is>
          <t>Sindelfingen</t>
        </is>
      </c>
      <c r="D20" s="19" t="inlineStr">
        <is>
          <t>Cleanliness Standards</t>
        </is>
      </c>
      <c r="E20" s="19" t="n">
        <v>100</v>
      </c>
      <c r="F20" s="19" t="inlineStr">
        <is>
          <t>Pass</t>
        </is>
      </c>
      <c r="G20" s="19" t="inlineStr">
        <is>
          <t>No action required</t>
        </is>
      </c>
      <c r="H20" s="19" t="inlineStr">
        <is>
          <t>S. Panda</t>
        </is>
      </c>
    </row>
    <row r="21">
      <c r="A21" s="18" t="inlineStr">
        <is>
          <t>AUD-019</t>
        </is>
      </c>
      <c r="B21" s="18" t="inlineStr">
        <is>
          <t>2024-12-26</t>
        </is>
      </c>
      <c r="C21" s="18" t="inlineStr">
        <is>
          <t>Munich</t>
        </is>
      </c>
      <c r="D21" s="18" t="inlineStr">
        <is>
          <t>Non-conformance Handling</t>
        </is>
      </c>
      <c r="E21" s="18" t="n">
        <v>70</v>
      </c>
      <c r="F21" s="18" t="inlineStr">
        <is>
          <t>Fail</t>
        </is>
      </c>
      <c r="G21" s="18" t="inlineStr">
        <is>
          <t>Corrective action required</t>
        </is>
      </c>
      <c r="H21" s="18" t="inlineStr">
        <is>
          <t>S. Panda</t>
        </is>
      </c>
    </row>
    <row r="22">
      <c r="A22" s="19" t="inlineStr">
        <is>
          <t>AUD-020</t>
        </is>
      </c>
      <c r="B22" s="19" t="inlineStr">
        <is>
          <t>2024-12-21</t>
        </is>
      </c>
      <c r="C22" s="19" t="inlineStr">
        <is>
          <t>Stuttgart</t>
        </is>
      </c>
      <c r="D22" s="19" t="inlineStr">
        <is>
          <t>Process Documentation</t>
        </is>
      </c>
      <c r="E22" s="19" t="n">
        <v>62</v>
      </c>
      <c r="F22" s="19" t="inlineStr">
        <is>
          <t>Fail</t>
        </is>
      </c>
      <c r="G22" s="19" t="inlineStr">
        <is>
          <t>Corrective action required</t>
        </is>
      </c>
      <c r="H22" s="19" t="inlineStr">
        <is>
          <t>S. Panda</t>
        </is>
      </c>
    </row>
    <row r="23">
      <c r="A23" s="18" t="inlineStr">
        <is>
          <t>AUD-021</t>
        </is>
      </c>
      <c r="B23" s="18" t="inlineStr">
        <is>
          <t>2024-06-15</t>
        </is>
      </c>
      <c r="C23" s="18" t="inlineStr">
        <is>
          <t>Munich</t>
        </is>
      </c>
      <c r="D23" s="18" t="inlineStr">
        <is>
          <t>Tool Calibration</t>
        </is>
      </c>
      <c r="E23" s="18" t="n">
        <v>82</v>
      </c>
      <c r="F23" s="18" t="inlineStr">
        <is>
          <t>Pass</t>
        </is>
      </c>
      <c r="G23" s="18" t="inlineStr">
        <is>
          <t>Monitor next cycle</t>
        </is>
      </c>
      <c r="H23" s="18" t="inlineStr">
        <is>
          <t>S. Panda</t>
        </is>
      </c>
    </row>
    <row r="24">
      <c r="A24" s="19" t="inlineStr">
        <is>
          <t>AUD-022</t>
        </is>
      </c>
      <c r="B24" s="19" t="inlineStr">
        <is>
          <t>2024-07-10</t>
        </is>
      </c>
      <c r="C24" s="19" t="inlineStr">
        <is>
          <t>Sindelfingen</t>
        </is>
      </c>
      <c r="D24" s="19" t="inlineStr">
        <is>
          <t>Corrosion Protection</t>
        </is>
      </c>
      <c r="E24" s="19" t="n">
        <v>75</v>
      </c>
      <c r="F24" s="19" t="inlineStr">
        <is>
          <t>Pass</t>
        </is>
      </c>
      <c r="G24" s="19" t="inlineStr">
        <is>
          <t>Monitor next cycle</t>
        </is>
      </c>
      <c r="H24" s="19" t="inlineStr">
        <is>
          <t>S. Panda</t>
        </is>
      </c>
    </row>
    <row r="25">
      <c r="A25" s="18" t="inlineStr">
        <is>
          <t>AUD-023</t>
        </is>
      </c>
      <c r="B25" s="18" t="inlineStr">
        <is>
          <t>2024-09-28</t>
        </is>
      </c>
      <c r="C25" s="18" t="inlineStr">
        <is>
          <t>Sindelfingen</t>
        </is>
      </c>
      <c r="D25" s="18" t="inlineStr">
        <is>
          <t>Corrosion Protection</t>
        </is>
      </c>
      <c r="E25" s="18" t="n">
        <v>70</v>
      </c>
      <c r="F25" s="18" t="inlineStr">
        <is>
          <t>Fail</t>
        </is>
      </c>
      <c r="G25" s="18" t="inlineStr">
        <is>
          <t>Corrective action required</t>
        </is>
      </c>
      <c r="H25" s="18" t="inlineStr">
        <is>
          <t>S. Panda</t>
        </is>
      </c>
    </row>
    <row r="26">
      <c r="A26" s="19" t="inlineStr">
        <is>
          <t>AUD-024</t>
        </is>
      </c>
      <c r="B26" s="19" t="inlineStr">
        <is>
          <t>2024-03-30</t>
        </is>
      </c>
      <c r="C26" s="19" t="inlineStr">
        <is>
          <t>Munich</t>
        </is>
      </c>
      <c r="D26" s="19" t="inlineStr">
        <is>
          <t>Traceability Records</t>
        </is>
      </c>
      <c r="E26" s="19" t="n">
        <v>99</v>
      </c>
      <c r="F26" s="19" t="inlineStr">
        <is>
          <t>Pass</t>
        </is>
      </c>
      <c r="G26" s="19" t="inlineStr">
        <is>
          <t>No action required</t>
        </is>
      </c>
      <c r="H26" s="19" t="inlineStr">
        <is>
          <t>S. Panda</t>
        </is>
      </c>
    </row>
    <row r="27">
      <c r="A27" s="18" t="inlineStr">
        <is>
          <t>AUD-025</t>
        </is>
      </c>
      <c r="B27" s="18" t="inlineStr">
        <is>
          <t>2024-12-15</t>
        </is>
      </c>
      <c r="C27" s="18" t="inlineStr">
        <is>
          <t>Ingolstadt</t>
        </is>
      </c>
      <c r="D27" s="18" t="inlineStr">
        <is>
          <t>Non-conformance Handling</t>
        </is>
      </c>
      <c r="E27" s="18" t="n">
        <v>97</v>
      </c>
      <c r="F27" s="18" t="inlineStr">
        <is>
          <t>Pass</t>
        </is>
      </c>
      <c r="G27" s="18" t="inlineStr">
        <is>
          <t>No action required</t>
        </is>
      </c>
      <c r="H27" s="18" t="inlineStr">
        <is>
          <t>S. Panda</t>
        </is>
      </c>
    </row>
    <row r="28">
      <c r="A28" s="19" t="inlineStr">
        <is>
          <t>AUD-026</t>
        </is>
      </c>
      <c r="B28" s="19" t="inlineStr">
        <is>
          <t>2024-03-14</t>
        </is>
      </c>
      <c r="C28" s="19" t="inlineStr">
        <is>
          <t>Ingolstadt</t>
        </is>
      </c>
      <c r="D28" s="19" t="inlineStr">
        <is>
          <t>Non-conformance Handling</t>
        </is>
      </c>
      <c r="E28" s="19" t="n">
        <v>100</v>
      </c>
      <c r="F28" s="19" t="inlineStr">
        <is>
          <t>Pass</t>
        </is>
      </c>
      <c r="G28" s="19" t="inlineStr">
        <is>
          <t>No action required</t>
        </is>
      </c>
      <c r="H28" s="19" t="inlineStr">
        <is>
          <t>S. Panda</t>
        </is>
      </c>
    </row>
    <row r="29">
      <c r="A29" s="18" t="inlineStr">
        <is>
          <t>AUD-027</t>
        </is>
      </c>
      <c r="B29" s="18" t="inlineStr">
        <is>
          <t>2024-05-10</t>
        </is>
      </c>
      <c r="C29" s="18" t="inlineStr">
        <is>
          <t>Sindelfingen</t>
        </is>
      </c>
      <c r="D29" s="18" t="inlineStr">
        <is>
          <t>Tool Calibration</t>
        </is>
      </c>
      <c r="E29" s="18" t="n">
        <v>60</v>
      </c>
      <c r="F29" s="18" t="inlineStr">
        <is>
          <t>Fail</t>
        </is>
      </c>
      <c r="G29" s="18" t="inlineStr">
        <is>
          <t>Corrective action required</t>
        </is>
      </c>
      <c r="H29" s="18" t="inlineStr">
        <is>
          <t>S. Panda</t>
        </is>
      </c>
    </row>
    <row r="30">
      <c r="A30" s="19" t="inlineStr">
        <is>
          <t>AUD-028</t>
        </is>
      </c>
      <c r="B30" s="19" t="inlineStr">
        <is>
          <t>2024-08-26</t>
        </is>
      </c>
      <c r="C30" s="19" t="inlineStr">
        <is>
          <t>Stuttgart</t>
        </is>
      </c>
      <c r="D30" s="19" t="inlineStr">
        <is>
          <t>Corrosion Protection</t>
        </is>
      </c>
      <c r="E30" s="19" t="n">
        <v>64</v>
      </c>
      <c r="F30" s="19" t="inlineStr">
        <is>
          <t>Fail</t>
        </is>
      </c>
      <c r="G30" s="19" t="inlineStr">
        <is>
          <t>Corrective action required</t>
        </is>
      </c>
      <c r="H30" s="19" t="inlineStr">
        <is>
          <t>S. Panda</t>
        </is>
      </c>
    </row>
    <row r="31">
      <c r="A31" s="18" t="inlineStr">
        <is>
          <t>AUD-029</t>
        </is>
      </c>
      <c r="B31" s="18" t="inlineStr">
        <is>
          <t>2024-08-14</t>
        </is>
      </c>
      <c r="C31" s="18" t="inlineStr">
        <is>
          <t>Stuttgart</t>
        </is>
      </c>
      <c r="D31" s="18" t="inlineStr">
        <is>
          <t>Tool Calibration</t>
        </is>
      </c>
      <c r="E31" s="18" t="n">
        <v>100</v>
      </c>
      <c r="F31" s="18" t="inlineStr">
        <is>
          <t>Pass</t>
        </is>
      </c>
      <c r="G31" s="18" t="inlineStr">
        <is>
          <t>No action required</t>
        </is>
      </c>
      <c r="H31" s="18" t="inlineStr">
        <is>
          <t>S. Panda</t>
        </is>
      </c>
    </row>
    <row r="32">
      <c r="A32" s="19" t="inlineStr">
        <is>
          <t>AUD-030</t>
        </is>
      </c>
      <c r="B32" s="19" t="inlineStr">
        <is>
          <t>2024-08-05</t>
        </is>
      </c>
      <c r="C32" s="19" t="inlineStr">
        <is>
          <t>Stuttgart</t>
        </is>
      </c>
      <c r="D32" s="19" t="inlineStr">
        <is>
          <t>Non-conformance Handling</t>
        </is>
      </c>
      <c r="E32" s="19" t="n">
        <v>79</v>
      </c>
      <c r="F32" s="19" t="inlineStr">
        <is>
          <t>Pass</t>
        </is>
      </c>
      <c r="G32" s="19" t="inlineStr">
        <is>
          <t>Monitor next cycle</t>
        </is>
      </c>
      <c r="H32" s="19" t="inlineStr">
        <is>
          <t>S. Panda</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showGridLines="0" workbookViewId="0">
      <selection activeCell="A1" sqref="A1"/>
    </sheetView>
  </sheetViews>
  <sheetFormatPr baseColWidth="8" defaultRowHeight="15"/>
  <cols>
    <col width="14" customWidth="1" min="1" max="1"/>
    <col width="21" customWidth="1" min="2" max="2"/>
    <col width="22" customWidth="1" min="3" max="3"/>
    <col width="27" customWidth="1" min="4" max="4"/>
    <col width="28" customWidth="1" min="5" max="5"/>
    <col width="21" customWidth="1" min="6" max="6"/>
    <col width="10" customWidth="1" min="7" max="7"/>
  </cols>
  <sheetData>
    <row r="1" ht="30" customHeight="1">
      <c r="A1" s="16" t="inlineStr">
        <is>
          <t>Supplier Scorecard</t>
        </is>
      </c>
    </row>
    <row r="2" ht="28" customHeight="1">
      <c r="A2" s="22" t="inlineStr">
        <is>
          <t>Supplier</t>
        </is>
      </c>
      <c r="B2" s="22" t="inlineStr">
        <is>
          <t>Quality Score (%)</t>
        </is>
      </c>
      <c r="C2" s="22" t="inlineStr">
        <is>
          <t>Delivery Score (%)</t>
        </is>
      </c>
      <c r="D2" s="22" t="inlineStr">
        <is>
          <t>Documentation Score (%)</t>
        </is>
      </c>
      <c r="E2" s="22" t="inlineStr">
        <is>
          <t>Responsiveness Score (%)</t>
        </is>
      </c>
      <c r="F2" s="22" t="inlineStr">
        <is>
          <t>Overall Score (%)</t>
        </is>
      </c>
      <c r="G2" s="22" t="inlineStr">
        <is>
          <t>Rating</t>
        </is>
      </c>
    </row>
    <row r="3">
      <c r="A3" s="18" t="inlineStr">
        <is>
          <t>Supplier A</t>
        </is>
      </c>
      <c r="B3" s="18" t="n">
        <v>82</v>
      </c>
      <c r="C3" s="18" t="n">
        <v>88.5</v>
      </c>
      <c r="D3" s="18" t="n">
        <v>85.59999999999999</v>
      </c>
      <c r="E3" s="18" t="n">
        <v>75.90000000000001</v>
      </c>
      <c r="F3" s="18" t="n">
        <v>83</v>
      </c>
      <c r="G3" s="18" t="inlineStr">
        <is>
          <t>B</t>
        </is>
      </c>
    </row>
    <row r="4">
      <c r="A4" s="19" t="inlineStr">
        <is>
          <t>Supplier B</t>
        </is>
      </c>
      <c r="B4" s="19" t="n">
        <v>89.40000000000001</v>
      </c>
      <c r="C4" s="19" t="n">
        <v>91.8</v>
      </c>
      <c r="D4" s="19" t="n">
        <v>96.8</v>
      </c>
      <c r="E4" s="19" t="n">
        <v>77.40000000000001</v>
      </c>
      <c r="F4" s="19" t="n">
        <v>88.8</v>
      </c>
      <c r="G4" s="19" t="inlineStr">
        <is>
          <t>B</t>
        </is>
      </c>
    </row>
    <row r="5">
      <c r="A5" s="18" t="inlineStr">
        <is>
          <t>Supplier C</t>
        </is>
      </c>
      <c r="B5" s="18" t="n">
        <v>97.59999999999999</v>
      </c>
      <c r="C5" s="18" t="n">
        <v>93.2</v>
      </c>
      <c r="D5" s="18" t="n">
        <v>81</v>
      </c>
      <c r="E5" s="18" t="n">
        <v>84.09999999999999</v>
      </c>
      <c r="F5" s="18" t="n">
        <v>89</v>
      </c>
      <c r="G5" s="18" t="inlineStr">
        <is>
          <t>B</t>
        </is>
      </c>
    </row>
    <row r="6">
      <c r="A6" s="19" t="inlineStr">
        <is>
          <t>Supplier D</t>
        </is>
      </c>
      <c r="B6" s="19" t="n">
        <v>91.7</v>
      </c>
      <c r="C6" s="19" t="n">
        <v>94.7</v>
      </c>
      <c r="D6" s="19" t="n">
        <v>76.09999999999999</v>
      </c>
      <c r="E6" s="19" t="n">
        <v>85.2</v>
      </c>
      <c r="F6" s="19" t="n">
        <v>86.90000000000001</v>
      </c>
      <c r="G6" s="19" t="inlineStr">
        <is>
          <t>B</t>
        </is>
      </c>
    </row>
    <row r="7">
      <c r="A7" s="18" t="inlineStr">
        <is>
          <t>Supplier E</t>
        </is>
      </c>
      <c r="B7" s="18" t="n">
        <v>87.90000000000001</v>
      </c>
      <c r="C7" s="18" t="n">
        <v>97.40000000000001</v>
      </c>
      <c r="D7" s="18" t="n">
        <v>81.3</v>
      </c>
      <c r="E7" s="18" t="n">
        <v>90</v>
      </c>
      <c r="F7" s="18" t="n">
        <v>89.2</v>
      </c>
      <c r="G7" s="18" t="inlineStr">
        <is>
          <t>B</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2"/>
  <sheetViews>
    <sheetView showGridLines="0" workbookViewId="0">
      <selection activeCell="A1" sqref="A1"/>
    </sheetView>
  </sheetViews>
  <sheetFormatPr baseColWidth="8" defaultRowHeight="15"/>
  <cols>
    <col width="11" customWidth="1" min="1" max="1"/>
    <col width="26" customWidth="1" min="2" max="2"/>
    <col width="17" customWidth="1" min="3" max="3"/>
    <col width="21" customWidth="1" min="4" max="4"/>
    <col width="19" customWidth="1" min="5" max="5"/>
    <col width="21" customWidth="1" min="6" max="6"/>
    <col width="14" customWidth="1" min="7" max="7"/>
    <col width="28" customWidth="1" min="8" max="8"/>
    <col width="15" customWidth="1" min="9" max="9"/>
  </cols>
  <sheetData>
    <row r="1" ht="30" customHeight="1">
      <c r="A1" s="16" t="inlineStr">
        <is>
          <t>Corrosion Risk Register</t>
        </is>
      </c>
    </row>
    <row r="2" ht="28" customHeight="1">
      <c r="A2" s="23" t="inlineStr">
        <is>
          <t>Risk ID</t>
        </is>
      </c>
      <c r="B2" s="23" t="inlineStr">
        <is>
          <t>Component</t>
        </is>
      </c>
      <c r="C2" s="23" t="inlineStr">
        <is>
          <t>Material</t>
        </is>
      </c>
      <c r="D2" s="23" t="inlineStr">
        <is>
          <t>Environment</t>
        </is>
      </c>
      <c r="E2" s="23" t="inlineStr">
        <is>
          <t>Coating Applied</t>
        </is>
      </c>
      <c r="F2" s="23" t="inlineStr">
        <is>
          <t>Risk Score (1-10)</t>
        </is>
      </c>
      <c r="G2" s="23" t="inlineStr">
        <is>
          <t>Risk Level</t>
        </is>
      </c>
      <c r="H2" s="23" t="inlineStr">
        <is>
          <t>Mitigation Action</t>
        </is>
      </c>
      <c r="I2" s="23" t="inlineStr">
        <is>
          <t>Review Date</t>
        </is>
      </c>
    </row>
    <row r="3">
      <c r="A3" s="18" t="inlineStr">
        <is>
          <t>COR-001</t>
        </is>
      </c>
      <c r="B3" s="18" t="inlineStr">
        <is>
          <t>Transmission</t>
        </is>
      </c>
      <c r="C3" s="18" t="inlineStr">
        <is>
          <t>Titanium</t>
        </is>
      </c>
      <c r="D3" s="18" t="inlineStr">
        <is>
          <t>Thermal Cycling</t>
        </is>
      </c>
      <c r="E3" s="18" t="inlineStr">
        <is>
          <t>Zinc Phosphate</t>
        </is>
      </c>
      <c r="F3" s="18" t="n">
        <v>4</v>
      </c>
      <c r="G3" s="18" t="inlineStr">
        <is>
          <t>Low</t>
        </is>
      </c>
      <c r="H3" s="18" t="inlineStr">
        <is>
          <t>Standard monitoring</t>
        </is>
      </c>
      <c r="I3" s="18" t="inlineStr">
        <is>
          <t>2026-07-11</t>
        </is>
      </c>
    </row>
    <row r="4">
      <c r="A4" s="19" t="inlineStr">
        <is>
          <t>COR-002</t>
        </is>
      </c>
      <c r="B4" s="19" t="inlineStr">
        <is>
          <t>Crankshaft</t>
        </is>
      </c>
      <c r="C4" s="19" t="inlineStr">
        <is>
          <t>Aluminum 6061</t>
        </is>
      </c>
      <c r="D4" s="19" t="inlineStr">
        <is>
          <t>High Humidity</t>
        </is>
      </c>
      <c r="E4" s="19" t="inlineStr">
        <is>
          <t>Powder Coat</t>
        </is>
      </c>
      <c r="F4" s="19" t="n">
        <v>8</v>
      </c>
      <c r="G4" s="19" t="inlineStr">
        <is>
          <t>High</t>
        </is>
      </c>
      <c r="H4" s="19" t="inlineStr">
        <is>
          <t>Apply protective coating</t>
        </is>
      </c>
      <c r="I4" s="19" t="inlineStr">
        <is>
          <t>2026-11-01</t>
        </is>
      </c>
    </row>
    <row r="5">
      <c r="A5" s="18" t="inlineStr">
        <is>
          <t>COR-003</t>
        </is>
      </c>
      <c r="B5" s="18" t="inlineStr">
        <is>
          <t>Bushing</t>
        </is>
      </c>
      <c r="C5" s="18" t="inlineStr">
        <is>
          <t>Cast Iron</t>
        </is>
      </c>
      <c r="D5" s="18" t="inlineStr">
        <is>
          <t>Salt Spray</t>
        </is>
      </c>
      <c r="E5" s="18" t="inlineStr">
        <is>
          <t>HVOF Cr₂O₃+TiC</t>
        </is>
      </c>
      <c r="F5" s="18" t="n">
        <v>5</v>
      </c>
      <c r="G5" s="18" t="inlineStr">
        <is>
          <t>Medium</t>
        </is>
      </c>
      <c r="H5" s="18" t="inlineStr">
        <is>
          <t>Increase inspection frequency</t>
        </is>
      </c>
      <c r="I5" s="18" t="inlineStr">
        <is>
          <t>2026-09-20</t>
        </is>
      </c>
    </row>
    <row r="6">
      <c r="A6" s="19" t="inlineStr">
        <is>
          <t>COR-004</t>
        </is>
      </c>
      <c r="B6" s="19" t="inlineStr">
        <is>
          <t>Bushing</t>
        </is>
      </c>
      <c r="C6" s="19" t="inlineStr">
        <is>
          <t>Steel (S355)</t>
        </is>
      </c>
      <c r="D6" s="19" t="inlineStr">
        <is>
          <t>Salt Spray</t>
        </is>
      </c>
      <c r="E6" s="19" t="inlineStr">
        <is>
          <t>Zinc Phosphate</t>
        </is>
      </c>
      <c r="F6" s="19" t="n">
        <v>9</v>
      </c>
      <c r="G6" s="19" t="inlineStr">
        <is>
          <t>High</t>
        </is>
      </c>
      <c r="H6" s="19" t="inlineStr">
        <is>
          <t>Apply protective coating</t>
        </is>
      </c>
      <c r="I6" s="19" t="inlineStr">
        <is>
          <t>2026-10-19</t>
        </is>
      </c>
    </row>
    <row r="7">
      <c r="A7" s="18" t="inlineStr">
        <is>
          <t>COR-005</t>
        </is>
      </c>
      <c r="B7" s="18" t="inlineStr">
        <is>
          <t>Coil Assembly</t>
        </is>
      </c>
      <c r="C7" s="18" t="inlineStr">
        <is>
          <t>Titanium</t>
        </is>
      </c>
      <c r="D7" s="18" t="inlineStr">
        <is>
          <t>Thermal Cycling</t>
        </is>
      </c>
      <c r="E7" s="18" t="inlineStr">
        <is>
          <t>Zinc Phosphate</t>
        </is>
      </c>
      <c r="F7" s="18" t="n">
        <v>5</v>
      </c>
      <c r="G7" s="18" t="inlineStr">
        <is>
          <t>Medium</t>
        </is>
      </c>
      <c r="H7" s="18" t="inlineStr">
        <is>
          <t>Increase inspection frequency</t>
        </is>
      </c>
      <c r="I7" s="18" t="inlineStr">
        <is>
          <t>2026-08-20</t>
        </is>
      </c>
    </row>
    <row r="8">
      <c r="A8" s="19" t="inlineStr">
        <is>
          <t>COR-006</t>
        </is>
      </c>
      <c r="B8" s="19" t="inlineStr">
        <is>
          <t>Crankcase</t>
        </is>
      </c>
      <c r="C8" s="19" t="inlineStr">
        <is>
          <t>Cast Iron</t>
        </is>
      </c>
      <c r="D8" s="19" t="inlineStr">
        <is>
          <t>High Humidity</t>
        </is>
      </c>
      <c r="E8" s="19" t="inlineStr">
        <is>
          <t>Anodizing</t>
        </is>
      </c>
      <c r="F8" s="19" t="n">
        <v>2</v>
      </c>
      <c r="G8" s="19" t="inlineStr">
        <is>
          <t>Low</t>
        </is>
      </c>
      <c r="H8" s="19" t="inlineStr">
        <is>
          <t>Standard monitoring</t>
        </is>
      </c>
      <c r="I8" s="19" t="inlineStr">
        <is>
          <t>2026-08-02</t>
        </is>
      </c>
    </row>
    <row r="9">
      <c r="A9" s="18" t="inlineStr">
        <is>
          <t>COR-007</t>
        </is>
      </c>
      <c r="B9" s="18" t="inlineStr">
        <is>
          <t>Crankshaft</t>
        </is>
      </c>
      <c r="C9" s="18" t="inlineStr">
        <is>
          <t>Copper Alloy</t>
        </is>
      </c>
      <c r="D9" s="18" t="inlineStr">
        <is>
          <t>Thermal Cycling</t>
        </is>
      </c>
      <c r="E9" s="18" t="inlineStr">
        <is>
          <t>HVOF Cr₂O₃+TiC</t>
        </is>
      </c>
      <c r="F9" s="18" t="n">
        <v>7</v>
      </c>
      <c r="G9" s="18" t="inlineStr">
        <is>
          <t>Medium</t>
        </is>
      </c>
      <c r="H9" s="18" t="inlineStr">
        <is>
          <t>Increase inspection frequency</t>
        </is>
      </c>
      <c r="I9" s="18" t="inlineStr">
        <is>
          <t>2026-08-12</t>
        </is>
      </c>
    </row>
    <row r="10">
      <c r="A10" s="19" t="inlineStr">
        <is>
          <t>COR-008</t>
        </is>
      </c>
      <c r="B10" s="19" t="inlineStr">
        <is>
          <t>Transmission</t>
        </is>
      </c>
      <c r="C10" s="19" t="inlineStr">
        <is>
          <t>Titanium</t>
        </is>
      </c>
      <c r="D10" s="19" t="inlineStr">
        <is>
          <t>High Humidity</t>
        </is>
      </c>
      <c r="E10" s="19" t="inlineStr">
        <is>
          <t>Anodizing</t>
        </is>
      </c>
      <c r="F10" s="19" t="n">
        <v>6</v>
      </c>
      <c r="G10" s="19" t="inlineStr">
        <is>
          <t>Medium</t>
        </is>
      </c>
      <c r="H10" s="19" t="inlineStr">
        <is>
          <t>Increase inspection frequency</t>
        </is>
      </c>
      <c r="I10" s="19" t="inlineStr">
        <is>
          <t>2026-11-02</t>
        </is>
      </c>
    </row>
    <row r="11">
      <c r="A11" s="18" t="inlineStr">
        <is>
          <t>COR-009</t>
        </is>
      </c>
      <c r="B11" s="18" t="inlineStr">
        <is>
          <t>Coil Assembly</t>
        </is>
      </c>
      <c r="C11" s="18" t="inlineStr">
        <is>
          <t>Copper Alloy</t>
        </is>
      </c>
      <c r="D11" s="18" t="inlineStr">
        <is>
          <t>Thermal Cycling</t>
        </is>
      </c>
      <c r="E11" s="18" t="inlineStr">
        <is>
          <t>HVOF Cr₂O₃+TiC</t>
        </is>
      </c>
      <c r="F11" s="18" t="n">
        <v>4</v>
      </c>
      <c r="G11" s="18" t="inlineStr">
        <is>
          <t>Low</t>
        </is>
      </c>
      <c r="H11" s="18" t="inlineStr">
        <is>
          <t>Standard monitoring</t>
        </is>
      </c>
      <c r="I11" s="18" t="inlineStr">
        <is>
          <t>2026-06-12</t>
        </is>
      </c>
    </row>
    <row r="12">
      <c r="A12" s="19" t="inlineStr">
        <is>
          <t>COR-010</t>
        </is>
      </c>
      <c r="B12" s="19" t="inlineStr">
        <is>
          <t>Cylinder Head</t>
        </is>
      </c>
      <c r="C12" s="19" t="inlineStr">
        <is>
          <t>Titanium</t>
        </is>
      </c>
      <c r="D12" s="19" t="inlineStr">
        <is>
          <t>Thermal Cycling</t>
        </is>
      </c>
      <c r="E12" s="19" t="inlineStr">
        <is>
          <t>None</t>
        </is>
      </c>
      <c r="F12" s="19" t="n">
        <v>4</v>
      </c>
      <c r="G12" s="19" t="inlineStr">
        <is>
          <t>Low</t>
        </is>
      </c>
      <c r="H12" s="19" t="inlineStr">
        <is>
          <t>Standard monitoring</t>
        </is>
      </c>
      <c r="I12" s="19" t="inlineStr">
        <is>
          <t>2026-10-02</t>
        </is>
      </c>
    </row>
    <row r="13">
      <c r="A13" s="18" t="inlineStr">
        <is>
          <t>COR-011</t>
        </is>
      </c>
      <c r="B13" s="18" t="inlineStr">
        <is>
          <t>Crankshaft</t>
        </is>
      </c>
      <c r="C13" s="18" t="inlineStr">
        <is>
          <t>Cast Iron</t>
        </is>
      </c>
      <c r="D13" s="18" t="inlineStr">
        <is>
          <t>Chemical Exposure</t>
        </is>
      </c>
      <c r="E13" s="18" t="inlineStr">
        <is>
          <t>HVOF Cr₂O₃+TiC</t>
        </is>
      </c>
      <c r="F13" s="18" t="n">
        <v>3</v>
      </c>
      <c r="G13" s="18" t="inlineStr">
        <is>
          <t>Low</t>
        </is>
      </c>
      <c r="H13" s="18" t="inlineStr">
        <is>
          <t>Standard monitoring</t>
        </is>
      </c>
      <c r="I13" s="18" t="inlineStr">
        <is>
          <t>2026-06-15</t>
        </is>
      </c>
    </row>
    <row r="14">
      <c r="A14" s="19" t="inlineStr">
        <is>
          <t>COR-012</t>
        </is>
      </c>
      <c r="B14" s="19" t="inlineStr">
        <is>
          <t>eATS Motor</t>
        </is>
      </c>
      <c r="C14" s="19" t="inlineStr">
        <is>
          <t>Cast Iron</t>
        </is>
      </c>
      <c r="D14" s="19" t="inlineStr">
        <is>
          <t>Chemical Exposure</t>
        </is>
      </c>
      <c r="E14" s="19" t="inlineStr">
        <is>
          <t>HVOF Cr₂O₃+TiC</t>
        </is>
      </c>
      <c r="F14" s="19" t="n">
        <v>2</v>
      </c>
      <c r="G14" s="19" t="inlineStr">
        <is>
          <t>Low</t>
        </is>
      </c>
      <c r="H14" s="19" t="inlineStr">
        <is>
          <t>Standard monitoring</t>
        </is>
      </c>
      <c r="I14" s="19" t="inlineStr">
        <is>
          <t>2026-10-21</t>
        </is>
      </c>
    </row>
    <row r="15">
      <c r="A15" s="18" t="inlineStr">
        <is>
          <t>COR-013</t>
        </is>
      </c>
      <c r="B15" s="18" t="inlineStr">
        <is>
          <t>Instrument Transformer</t>
        </is>
      </c>
      <c r="C15" s="18" t="inlineStr">
        <is>
          <t>Steel (S355)</t>
        </is>
      </c>
      <c r="D15" s="18" t="inlineStr">
        <is>
          <t>Chemical Exposure</t>
        </is>
      </c>
      <c r="E15" s="18" t="inlineStr">
        <is>
          <t>Anodizing</t>
        </is>
      </c>
      <c r="F15" s="18" t="n">
        <v>6</v>
      </c>
      <c r="G15" s="18" t="inlineStr">
        <is>
          <t>Medium</t>
        </is>
      </c>
      <c r="H15" s="18" t="inlineStr">
        <is>
          <t>Increase inspection frequency</t>
        </is>
      </c>
      <c r="I15" s="18" t="inlineStr">
        <is>
          <t>2026-11-03</t>
        </is>
      </c>
    </row>
    <row r="16">
      <c r="A16" s="19" t="inlineStr">
        <is>
          <t>COR-014</t>
        </is>
      </c>
      <c r="B16" s="19" t="inlineStr">
        <is>
          <t>Instrument Transformer</t>
        </is>
      </c>
      <c r="C16" s="19" t="inlineStr">
        <is>
          <t>Steel (S355)</t>
        </is>
      </c>
      <c r="D16" s="19" t="inlineStr">
        <is>
          <t>Chemical Exposure</t>
        </is>
      </c>
      <c r="E16" s="19" t="inlineStr">
        <is>
          <t>HVOF Cr₂O₃+TiC</t>
        </is>
      </c>
      <c r="F16" s="19" t="n">
        <v>8</v>
      </c>
      <c r="G16" s="19" t="inlineStr">
        <is>
          <t>High</t>
        </is>
      </c>
      <c r="H16" s="19" t="inlineStr">
        <is>
          <t>Apply protective coating</t>
        </is>
      </c>
      <c r="I16" s="19" t="inlineStr">
        <is>
          <t>2026-08-16</t>
        </is>
      </c>
    </row>
    <row r="17">
      <c r="A17" s="18" t="inlineStr">
        <is>
          <t>COR-015</t>
        </is>
      </c>
      <c r="B17" s="18" t="inlineStr">
        <is>
          <t>Coil Assembly</t>
        </is>
      </c>
      <c r="C17" s="18" t="inlineStr">
        <is>
          <t>Aluminum 6061</t>
        </is>
      </c>
      <c r="D17" s="18" t="inlineStr">
        <is>
          <t>Thermal Cycling</t>
        </is>
      </c>
      <c r="E17" s="18" t="inlineStr">
        <is>
          <t>Zinc Phosphate</t>
        </is>
      </c>
      <c r="F17" s="18" t="n">
        <v>8</v>
      </c>
      <c r="G17" s="18" t="inlineStr">
        <is>
          <t>High</t>
        </is>
      </c>
      <c r="H17" s="18" t="inlineStr">
        <is>
          <t>Apply protective coating</t>
        </is>
      </c>
      <c r="I17" s="18" t="inlineStr">
        <is>
          <t>2026-08-05</t>
        </is>
      </c>
    </row>
    <row r="18">
      <c r="A18" s="19" t="inlineStr">
        <is>
          <t>COR-016</t>
        </is>
      </c>
      <c r="B18" s="19" t="inlineStr">
        <is>
          <t>Bushing</t>
        </is>
      </c>
      <c r="C18" s="19" t="inlineStr">
        <is>
          <t>Cast Iron</t>
        </is>
      </c>
      <c r="D18" s="19" t="inlineStr">
        <is>
          <t>High Humidity</t>
        </is>
      </c>
      <c r="E18" s="19" t="inlineStr">
        <is>
          <t>Powder Coat</t>
        </is>
      </c>
      <c r="F18" s="19" t="n">
        <v>9</v>
      </c>
      <c r="G18" s="19" t="inlineStr">
        <is>
          <t>High</t>
        </is>
      </c>
      <c r="H18" s="19" t="inlineStr">
        <is>
          <t>Apply protective coating</t>
        </is>
      </c>
      <c r="I18" s="19" t="inlineStr">
        <is>
          <t>2026-06-21</t>
        </is>
      </c>
    </row>
    <row r="19">
      <c r="A19" s="18" t="inlineStr">
        <is>
          <t>COR-017</t>
        </is>
      </c>
      <c r="B19" s="18" t="inlineStr">
        <is>
          <t>Coil Assembly</t>
        </is>
      </c>
      <c r="C19" s="18" t="inlineStr">
        <is>
          <t>Copper Alloy</t>
        </is>
      </c>
      <c r="D19" s="18" t="inlineStr">
        <is>
          <t>Thermal Cycling</t>
        </is>
      </c>
      <c r="E19" s="18" t="inlineStr">
        <is>
          <t>Zinc Phosphate</t>
        </is>
      </c>
      <c r="F19" s="18" t="n">
        <v>2</v>
      </c>
      <c r="G19" s="18" t="inlineStr">
        <is>
          <t>Low</t>
        </is>
      </c>
      <c r="H19" s="18" t="inlineStr">
        <is>
          <t>Standard monitoring</t>
        </is>
      </c>
      <c r="I19" s="18" t="inlineStr">
        <is>
          <t>2026-06-29</t>
        </is>
      </c>
    </row>
    <row r="20">
      <c r="A20" s="19" t="inlineStr">
        <is>
          <t>COR-018</t>
        </is>
      </c>
      <c r="B20" s="19" t="inlineStr">
        <is>
          <t>eATS Motor</t>
        </is>
      </c>
      <c r="C20" s="19" t="inlineStr">
        <is>
          <t>Steel (S355)</t>
        </is>
      </c>
      <c r="D20" s="19" t="inlineStr">
        <is>
          <t>High Humidity</t>
        </is>
      </c>
      <c r="E20" s="19" t="inlineStr">
        <is>
          <t>HVOF Cr₂O₃+TiC</t>
        </is>
      </c>
      <c r="F20" s="19" t="n">
        <v>6</v>
      </c>
      <c r="G20" s="19" t="inlineStr">
        <is>
          <t>Medium</t>
        </is>
      </c>
      <c r="H20" s="19" t="inlineStr">
        <is>
          <t>Increase inspection frequency</t>
        </is>
      </c>
      <c r="I20" s="19" t="inlineStr">
        <is>
          <t>2026-07-08</t>
        </is>
      </c>
    </row>
    <row r="21">
      <c r="A21" s="18" t="inlineStr">
        <is>
          <t>COR-019</t>
        </is>
      </c>
      <c r="B21" s="18" t="inlineStr">
        <is>
          <t>eATS Motor</t>
        </is>
      </c>
      <c r="C21" s="18" t="inlineStr">
        <is>
          <t>Titanium</t>
        </is>
      </c>
      <c r="D21" s="18" t="inlineStr">
        <is>
          <t>Salt Spray</t>
        </is>
      </c>
      <c r="E21" s="18" t="inlineStr">
        <is>
          <t>HVOF Cr₂O₃+TiC</t>
        </is>
      </c>
      <c r="F21" s="18" t="n">
        <v>9</v>
      </c>
      <c r="G21" s="18" t="inlineStr">
        <is>
          <t>High</t>
        </is>
      </c>
      <c r="H21" s="18" t="inlineStr">
        <is>
          <t>Apply protective coating</t>
        </is>
      </c>
      <c r="I21" s="18" t="inlineStr">
        <is>
          <t>2026-11-03</t>
        </is>
      </c>
    </row>
    <row r="22">
      <c r="A22" s="19" t="inlineStr">
        <is>
          <t>COR-020</t>
        </is>
      </c>
      <c r="B22" s="19" t="inlineStr">
        <is>
          <t>Crankshaft</t>
        </is>
      </c>
      <c r="C22" s="19" t="inlineStr">
        <is>
          <t>Steel (S355)</t>
        </is>
      </c>
      <c r="D22" s="19" t="inlineStr">
        <is>
          <t>Salt Spray</t>
        </is>
      </c>
      <c r="E22" s="19" t="inlineStr">
        <is>
          <t>Powder Coat</t>
        </is>
      </c>
      <c r="F22" s="19" t="n">
        <v>3</v>
      </c>
      <c r="G22" s="19" t="inlineStr">
        <is>
          <t>Low</t>
        </is>
      </c>
      <c r="H22" s="19" t="inlineStr">
        <is>
          <t>Standard monitoring</t>
        </is>
      </c>
      <c r="I22" s="19" t="inlineStr">
        <is>
          <t>2026-08-15</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2026-05-07T18:21:57Z</dcterms:created>
  <dcterms:modified xmlns:dcterms="http://purl.org/dc/terms/" xmlns:xsi="http://www.w3.org/2001/XMLSchema-instance" xsi:type="dcterms:W3CDTF">2026-05-07T18:21:57Z</dcterms:modified>
</cp:coreProperties>
</file>